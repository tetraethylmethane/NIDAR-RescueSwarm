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_rels/sheet7.xml.rels" ContentType="application/vnd.openxmlformats-package.relationships+xml"/>
  <Override PartName="/xl/worksheets/_rels/sheet6.xml.rels" ContentType="application/vnd.openxmlformats-package.relationships+xml"/>
  <Override PartName="/xl/worksheets/_rels/sheet5.xml.rels" ContentType="application/vnd.openxmlformats-package.relationships+xml"/>
  <Override PartName="/xl/worksheets/_rels/sheet4.xml.rels" ContentType="application/vnd.openxmlformats-package.relationships+xml"/>
  <Override PartName="/xl/worksheets/_rels/sheet2.xml.rels" ContentType="application/vnd.openxmlformats-package.relationship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00 README" sheetId="1" state="visible" r:id="rId3"/>
    <sheet name="01 Air Vehicle BOM" sheetId="2" state="visible" r:id="rId4"/>
    <sheet name="02 Payload &amp; Kits" sheetId="3" state="visible" r:id="rId5"/>
    <sheet name="03 Ground Segment" sheetId="4" state="visible" r:id="rId6"/>
    <sheet name="04 Test &amp; Lab Equipment" sheetId="5" state="visible" r:id="rId7"/>
    <sheet name="05 Spares &amp; Consumables" sheetId="6" state="visible" r:id="rId8"/>
    <sheet name="06 Software &amp; Data" sheetId="7" state="visible" r:id="rId9"/>
    <sheet name="07 Mass &amp; Performance" sheetId="8" state="visible" r:id="rId10"/>
    <sheet name="08 Cost Summary" sheetId="9" state="visible" r:id="rId11"/>
    <sheet name="09 Indigenisation Scorecard" sheetId="10" state="visible" r:id="rId1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<sst xmlns="http://schemas.openxmlformats.org/spreadsheetml/2006/main" count="1340" uniqueCount="755">
  <si>
    <t xml:space="preserve">RescueSwarm — Verified All-Indian Bill of Materials</t>
  </si>
  <si>
    <t xml:space="preserve">NIDAR 2.0 Track 1 · exact part numbers, verified specifications, live supplier links</t>
  </si>
  <si>
    <t xml:space="preserve">WHAT CHANGED</t>
  </si>
  <si>
    <t xml:space="preserve">The previous BOM named suppliers. This one names PARTS. Every flight-critical line now carries an exact model number, the specification as published by the manufacturer, a clickable product link, and a Status flag saying how far the verification went.</t>
  </si>
  <si>
    <t xml:space="preserve">STATUS FLAGS</t>
  </si>
  <si>
    <t xml:space="preserve">VERIFIED = model number, specification and price confirmed from the manufacturer or an authorised Indian reseller. SPEC OK / RFQ = the part and its specification are confirmed, but price is quotation-driven. RFQ = supplier confirmed, exact part still to be selected with them. LOCAL = fabricated or bought locally, no catalogue part exists.</t>
  </si>
  <si>
    <t xml:space="preserve">THE BIG FIND — REFLEX DRIVE</t>
  </si>
  <si>
    <t xml:space="preserve">Reflex Drive (Sunmint Energy Pvt Ltd, Lucknow, UP) makes a complete Made-in-India propulsion set that fits this aircraft: the RD MI-5008 KV340 motor (135 g, IP34, rated for 15-18 in props), the RD A-Series 60 A FOC ESC (28 g, 2 kW peak), and the RD 1760 propeller (17 x 6.0 in, 40 g, nylon-carbon 38% CF). They publish a full bench-test table. That table is the reason the design point moved to 17 in props.</t>
  </si>
  <si>
    <t xml:space="preserve">DESIGN POINT (REVISED TO FIT REAL INDIAN PARTS)</t>
  </si>
  <si>
    <t xml:space="preserve">Quad · RD 1760 (17 x 6.0 in) props · RD MI-5008 KV340 · RD A-Series 60 A FOC ESC · 6S3P 21700. MTOW 5.52 kg · FLEET 16.57 kg vs the 25 kg cap = 34% MARGIN · hover 790 W · endurance 17.7 min vs a 7.7 min design mission (2.3x) · hover thrust 1381 g/motor = 33% of the 4200 g rating · peak 99 A vs 135 A pack capability (37% margin).</t>
  </si>
  <si>
    <t xml:space="preserve">MODEL VALIDATED AGAINST REAL BENCH DATA</t>
  </si>
  <si>
    <t xml:space="preserve">Reflex Drive publishes measured thrust for the RD-5008 370KV on a 1760 prop at 6S: 1187 g at 126 W, 1864 g at 251 W. Interpolating to our 1381 g hover point gives ~162 W per motor = ~650 W plus 55 W avionics = ~705 W. The momentum-theory model predicts 790 W — 12% conservative. Real endurance should therefore be closer to 19-20 min than 17.7. This is the first time in this programme a prediction has been checked against manufacturer bench data, and it held.</t>
  </si>
  <si>
    <t xml:space="preserve">PRICES</t>
  </si>
  <si>
    <t xml:space="preserve">Where Status = VERIFIED the price is a real listed Indian price including GST where stated (e.g. Agam Autopilot V6X-RT Full Set at INR 42,000 incl. 5% GST). Elsewhere they remain estimates. Prices move; re-check before ordering.</t>
  </si>
  <si>
    <t xml:space="preserve">HOW TO USE</t>
  </si>
  <si>
    <t xml:space="preserve">Click "open" in the Link column to go to the product page. Filter on Status to see what still needs an RFQ. Fill the Actual columns as parts arrive. Tab 07 checks the fleet against the 25 kg rule; tab 09 computes the indigenisation score from the line items.</t>
  </si>
  <si>
    <t xml:space="preserve">CAUTION</t>
  </si>
  <si>
    <t xml:space="preserve">Product pages and prices were correct when this BOM was compiled and are not permanent. Two Reflex Drive motor variants exist (RD 5008 KV370 and RD MI-5008 KV340) with identical 135 g mass — confirm which one the reseller actually ships, because the KV difference changes the prop match.</t>
  </si>
  <si>
    <t xml:space="preserve">01 — AIR VEHICLE BOM (per aircraft; x3 for the fleet)</t>
  </si>
  <si>
    <t xml:space="preserve">Design point: quad · RD 1760 17x6.0 props · RD MI-5008 KV340 · RD A-Series 60A FOC ESC · 6S3P 21700 · MTOW 5.52 kg · fleet 16.57 kg vs 25 kg cap.</t>
  </si>
  <si>
    <t xml:space="preserve">#</t>
  </si>
  <si>
    <t xml:space="preserve">Component</t>
  </si>
  <si>
    <t xml:space="preserve">Exact part / model</t>
  </si>
  <si>
    <t xml:space="preserve">Key verified specification</t>
  </si>
  <si>
    <t xml:space="preserve">Supplier (location)</t>
  </si>
  <si>
    <t xml:space="preserve">Link</t>
  </si>
  <si>
    <t xml:space="preserve">Status</t>
  </si>
  <si>
    <t xml:space="preserve">Tier</t>
  </si>
  <si>
    <t xml:space="preserve">Ind
%</t>
  </si>
  <si>
    <t xml:space="preserve">Qty</t>
  </si>
  <si>
    <t xml:space="preserve">Unit
g</t>
  </si>
  <si>
    <t xml:space="preserve">Total
g</t>
  </si>
  <si>
    <t xml:space="preserve">Unit ₹</t>
  </si>
  <si>
    <t xml:space="preserve">Ext ₹</t>
  </si>
  <si>
    <t xml:space="preserve">Indian ₹</t>
  </si>
  <si>
    <t xml:space="preserve">Lead</t>
  </si>
  <si>
    <t xml:space="preserve">Why / sizing reference</t>
  </si>
  <si>
    <t xml:space="preserve">PROPULSION — fully verified, Made in India, single supplier</t>
  </si>
  <si>
    <t xml:space="preserve">Motor</t>
  </si>
  <si>
    <t xml:space="preserve">Reflex Drive RD MI-5008, 6S, KV340</t>
  </si>
  <si>
    <t xml:space="preserve">340 KV · 4S-6S · 24N28P · 135 g incl. cable · IP34 · 90.99% efficiency · rated for 15-18 in props · phi 55.6 x 27 mm · 6 mm shaft. Sister part RD 5008 KV370: 35 A cont / 51 A peak, 1.23 kW peak, 4.2 kgf on a 17x6.0 prop.</t>
  </si>
  <si>
    <t xml:space="preserve">Reflex Drive / Sunmint Energy (Lucknow, UP)</t>
  </si>
  <si>
    <t xml:space="preserve">open</t>
  </si>
  <si>
    <t xml:space="preserve">VERIFIED</t>
  </si>
  <si>
    <t xml:space="preserve">I1</t>
  </si>
  <si>
    <t xml:space="preserve">2-3 wk</t>
  </si>
  <si>
    <t xml:space="preserve">Sizing §6: need 2.53 kgf per motor at T/W 2. This gives 4.2 kgf, so hover sits at 33% of rating and T/W_max is 3.04. Over-rated, which is what the 34% fleet mass margin is for.</t>
  </si>
  <si>
    <t xml:space="preserve">ESC</t>
  </si>
  <si>
    <t xml:space="preserve">Reflex Drive RD A-Series FOC ESC 60 A</t>
  </si>
  <si>
    <t xml:space="preserve">60 A · 2 kW peak · Field-Oriented Control · 28 g without enclosure · Made in India · optimised for UAV propulsion.</t>
  </si>
  <si>
    <t xml:space="preserve">Reflex Drive (Lucknow, UP)</t>
  </si>
  <si>
    <t xml:space="preserve">Sizing §6: 99 A pack peak = ~25 A per motor. 60 A is 2.4x margin. FOC gives smoother low-RPM control than trapezoidal, which matters during the 6 m hover-and-drop.</t>
  </si>
  <si>
    <t xml:space="preserve">Propeller</t>
  </si>
  <si>
    <t xml:space="preserve">Reflex Drive RD 1760, 17 x 6.0 in</t>
  </si>
  <si>
    <t xml:space="preserve">17 in diameter · 6.0 in pitch · 40 g each · nylon-carbon composite, 38% carbon fibre · aluminium alloy mounting hub. CW + CCW sets.</t>
  </si>
  <si>
    <t xml:space="preserve">Sizing §3: hover power scales as 1/D. 17 in is the largest the RD 5008 is bench-tested on. At 40 g these are exceptionally light — the imported 18 in CF reference was 58 g.</t>
  </si>
  <si>
    <t xml:space="preserve">Prop adapter</t>
  </si>
  <si>
    <t xml:space="preserve">RD 6 mm self-tightening hub (with motor)</t>
  </si>
  <si>
    <t xml:space="preserve">6 mm shaft, matched to the RD 5008 series. Confirm inclusion with the reseller before ordering separately.</t>
  </si>
  <si>
    <t xml:space="preserve">Reflex Drive</t>
  </si>
  <si>
    <t xml:space="preserve">SPEC OK / RFQ</t>
  </si>
  <si>
    <t xml:space="preserve">Shaft size confirmed at 6 mm from the motor listing.</t>
  </si>
  <si>
    <t xml:space="preserve">AVIONICS — verified, Made in India</t>
  </si>
  <si>
    <t xml:space="preserve">Flight controller</t>
  </si>
  <si>
    <t xml:space="preserve">Agam Autopilot V6X-RT Full Set</t>
  </si>
  <si>
    <t xml:space="preserve">FMUv6X-RT / Pixhawk Autopilot Bus standard · NXP i.MX RT1176 dual-core (1 GHz Cortex-M7 + 400 MHz M4) · first non-STM32 Pixhawk-standard FC · triple redundant IMU + dual baro · Bosch and InvenSense sensors · 3x CAN incl. CAN-3 · Ethernet · secure element · solderless connectorised · 10- and 6-layer PCBs, CNC aluminium enclosure, all made in India · PX4 (BSD). SET INCLUDES: FC, IMU board (2 IMU + baro + mag + EEPROM), 16 GB SD, Agam Carrier Board, Agam Digital Power Module 6S/12S, cable set. MOQ 1.</t>
  </si>
  <si>
    <t xml:space="preserve">Agam Robotics (Bengaluru)</t>
  </si>
  <si>
    <t xml:space="preserve">I2</t>
  </si>
  <si>
    <t xml:space="preserve">3-4 wk</t>
  </si>
  <si>
    <t xml:space="preserve">INR 42,000 incl. 5% GST — a listed price, not an estimate. Ethernet to the companion computer is a real advantage over UART for the detection stream. Set price replaces separate FC, power module and carrier lines.</t>
  </si>
  <si>
    <t xml:space="preserve">VEGA co-processor</t>
  </si>
  <si>
    <t xml:space="preserve">C-DAC VEGA RISC-V development kit</t>
  </si>
  <si>
    <t xml:space="preserve">Indigenous RISC-V processor from C-DAC under MeitY. Two kits provided free to each top-100 NIDAR team. Used here as the payload-release and failsafe-watchdog controller, with a hardware bypass.</t>
  </si>
  <si>
    <t xml:space="preserve">C-DAC (via NIDAR)</t>
  </si>
  <si>
    <t xml:space="preserve">via NIDAR</t>
  </si>
  <si>
    <t xml:space="preserve">INDIGENISATION DIFFERENTIATOR. Puts Indian silicon on the aircraft without risking the flight-critical path. Track 2 mandates VEGA; using it in Track 1 is voluntary and therefore noticeable.</t>
  </si>
  <si>
    <t xml:space="preserve">GNSS primary</t>
  </si>
  <si>
    <t xml:space="preserve">Teravolt Labs AeroNav-series NavIC L1+L5 receiver</t>
  </si>
  <si>
    <t xml:space="preserve">NavIC L1 + L5 dual-band, Indian-designed GNSS receiver with integrated compass. CONFIRM WITH SUPPLIER: RTK rover mode and moving-baseline heading support, and RTCM3 input format.</t>
  </si>
  <si>
    <t xml:space="preserve">Teravolt Labs (India)</t>
  </si>
  <si>
    <t xml:space="preserve">RFQ</t>
  </si>
  <si>
    <t xml:space="preserve">3 wk</t>
  </si>
  <si>
    <t xml:space="preserve">Sizing §11: GNSS is the dominant geotag error term. NavIC adds satellites directly overhead India and improves time-to-first-fix, which buys margin in the 5-minute setup window (Sizing §15).</t>
  </si>
  <si>
    <t xml:space="preserve">GNSS secondary</t>
  </si>
  <si>
    <t xml:space="preserve">Second receiver for moving-baseline heading</t>
  </si>
  <si>
    <t xml:space="preserve">Same family as the primary, for dual-antenna yaw. Alternative: Accord Software &amp; Systems (Bengaluru), decades of Indian GNSS and NavIC receiver heritage.</t>
  </si>
  <si>
    <t xml:space="preserve">Teravolt Labs / Accord Software (Bengaluru)</t>
  </si>
  <si>
    <t xml:space="preserve">Sizing §11 case C: once RTK removes GNSS error, attitude leads. Dual-antenna heading removes magnetometer error near a 100 A power bus.</t>
  </si>
  <si>
    <t xml:space="preserve">GNSS antennas</t>
  </si>
  <si>
    <t xml:space="preserve">Multi-band L1/L5 helical or patch, x2</t>
  </si>
  <si>
    <t xml:space="preserve">Supplied with the receiver kits. Ground plane required. Mount &gt;=150 mm above the power bus.</t>
  </si>
  <si>
    <t xml:space="preserve">Supplied with receiver</t>
  </si>
  <si>
    <t xml:space="preserve">—</t>
  </si>
  <si>
    <t xml:space="preserve">EMI control is a Phase 3 exit gate: satellite count with all systems powered must be within 10% of the count with everything else off.</t>
  </si>
  <si>
    <t xml:space="preserve">RC receiver</t>
  </si>
  <si>
    <t xml:space="preserve">ExpressLRS 2.4 GHz receiver</t>
  </si>
  <si>
    <t xml:space="preserve">ELRS 2.4 GHz, safety-pilot link. Indian-manufactured ELRS hardware available from Zerodrag.</t>
  </si>
  <si>
    <t xml:space="preserve">Zerodrag (India)</t>
  </si>
  <si>
    <t xml:space="preserve">I3</t>
  </si>
  <si>
    <t xml:space="preserve">1-2 wk</t>
  </si>
  <si>
    <t xml:space="preserve">Not used in the scored mission. Present so a human can take control in an emergency — a range-safety requirement, not a rules requirement.</t>
  </si>
  <si>
    <t xml:space="preserve">POWER</t>
  </si>
  <si>
    <t xml:space="preserve">Li-ion cells</t>
  </si>
  <si>
    <t xml:space="preserve">21700 NMC, &gt;=4000 mAh, 40-45 A continuous — 18 off (6S3P)</t>
  </si>
  <si>
    <t xml:space="preserve">GODI India (Hyderabad) manufactures BIS-certified 21700 NMC cells in India. CONFIRM: whether a 40 A+ continuous high-drain drone-grade variant is in production. If not, buy an Indian-assembled pack built on imported high-drain cells and declare it as tier I3.</t>
  </si>
  <si>
    <t xml:space="preserve">GODI India (Hyderabad)</t>
  </si>
  <si>
    <t xml:space="preserve">4-6 wk</t>
  </si>
  <si>
    <t xml:space="preserve">Sizing §4: 6S3P = 292 Wh, 13.5 Ah, 135 A burst vs a 99 A peak demand (37% margin). WEAKEST INDIGENISATION LINK IN THE BUILD.</t>
  </si>
  <si>
    <t xml:space="preserve">Pack assembly</t>
  </si>
  <si>
    <t xml:space="preserve">6S3P spot-welded pack: holders, pure nickel, fish paper, wrap, XT90-S lead</t>
  </si>
  <si>
    <t xml:space="preserve">Indian pack assembly is a mature, competitive industry. Contract the assembler to capacity- and IR-match every cell and hand over the data.</t>
  </si>
  <si>
    <t xml:space="preserve">Revogreen / Lion Battery / Neuron Energy / CLN Energy</t>
  </si>
  <si>
    <t xml:space="preserve">Counterfeit 21700s are widespread. Buying a matched, tested pack from an Indian assembler removes both the counterfeit risk and the need to own a spot welder.</t>
  </si>
  <si>
    <t xml:space="preserve">BMS / balance board</t>
  </si>
  <si>
    <t xml:space="preserve">6S BMS with per-cell taps, high-current discharge path</t>
  </si>
  <si>
    <t xml:space="preserve">Flameback Tech manufactures Battery Management Systems and PDBs in India.</t>
  </si>
  <si>
    <t xml:space="preserve">Flameback Tech (Baddi, HP)</t>
  </si>
  <si>
    <t xml:space="preserve">2 wk</t>
  </si>
  <si>
    <t xml:space="preserve">Per-cell monitoring drives the SoC display the GCS must show (rule C11) and the low-battery failsafe (rule C16).</t>
  </si>
  <si>
    <t xml:space="preserve">Power distribution board</t>
  </si>
  <si>
    <t xml:space="preserve">Flameback PDB, high-current</t>
  </si>
  <si>
    <t xml:space="preserve">Flameback lists Power Distribution Boards among its drone electronics. Specify 150 A+ continuous with 10 AWG pads.</t>
  </si>
  <si>
    <t xml:space="preserve">Sizing §6: 99 A peak. Thermal margin needed at 45 C ambient.</t>
  </si>
  <si>
    <t xml:space="preserve">Power module</t>
  </si>
  <si>
    <t xml:space="preserve">Included in the Agam V6X-RT Full Set (Agam Digital Power Module 6S/12S)</t>
  </si>
  <si>
    <t xml:space="preserve">Digital power module for 6S/12S, part of the Agam full set — no separate purchase needed.</t>
  </si>
  <si>
    <t xml:space="preserve">Agam Robotics</t>
  </si>
  <si>
    <t xml:space="preserve">with FC</t>
  </si>
  <si>
    <t xml:space="preserve">Cost already carried in the flight controller line. Digital (I2C/CAN) modules are more accurate than analogue shunts at low current.</t>
  </si>
  <si>
    <t xml:space="preserve">BEC 5 V and 12 V</t>
  </si>
  <si>
    <t xml:space="preserve">Flameback / Indian power-electronics BEC, 5 V 5 A + 12 V 5 A</t>
  </si>
  <si>
    <t xml:space="preserve">Separate regulated rails for FC peripherals and for the compute module.</t>
  </si>
  <si>
    <t xml:space="preserve">Flameback Tech / Indian supplier</t>
  </si>
  <si>
    <t xml:space="preserve">Separate rails mean a compute brownout cannot take the flight controller down.</t>
  </si>
  <si>
    <t xml:space="preserve">Silicone wire</t>
  </si>
  <si>
    <t xml:space="preserve">10 AWG mains (2 m), 14 AWG motor (6 m), 22-26 AWG signal</t>
  </si>
  <si>
    <t xml:space="preserve">Indian cable manufacture is world class. Polycab, Finolex and RR Kabel all supply silicone-insulated high-strand wire.</t>
  </si>
  <si>
    <t xml:space="preserve">Polycab / Finolex / RR Kabel</t>
  </si>
  <si>
    <t xml:space="preserve">LOCAL</t>
  </si>
  <si>
    <t xml:space="preserve">1 wk</t>
  </si>
  <si>
    <t xml:space="preserve">Sizing §6: 99 A peak drives 10 AWG mains; ~25 A per motor drives 14 AWG motor leads.</t>
  </si>
  <si>
    <t xml:space="preserve">Connectors</t>
  </si>
  <si>
    <t xml:space="preserve">XT90-S anti-spark + JST-GH signal sets</t>
  </si>
  <si>
    <t xml:space="preserve">No Indian equivalent exists for these connector families. Small value, unavoidable import, bought through an Indian distributor.</t>
  </si>
  <si>
    <t xml:space="preserve">Indian distributor (Robu.in / Robokits)</t>
  </si>
  <si>
    <t xml:space="preserve">I4</t>
  </si>
  <si>
    <t xml:space="preserve">Anti-spark is mandatory at 292 Wh — a plain connector will arc and pit on every connection.</t>
  </si>
  <si>
    <t xml:space="preserve">Buzzer, LED, switch</t>
  </si>
  <si>
    <t xml:space="preserve">Piezo buzzer, external RGB status LED, arming switch</t>
  </si>
  <si>
    <t xml:space="preserve">Arming switch and status LED are included with most Pixhawk-standard kits; confirm with Agam.</t>
  </si>
  <si>
    <t xml:space="preserve">Agam accessories / local</t>
  </si>
  <si>
    <t xml:space="preserve">The LED is how the ground crew reads aircraft state from 10 m away during a 5-minute setup.</t>
  </si>
  <si>
    <t xml:space="preserve">COMPUTE AND PERCEPTION</t>
  </si>
  <si>
    <t xml:space="preserve">AI compute module</t>
  </si>
  <si>
    <t xml:space="preserve">Edge AI module, &gt;=20 TOPS class, with an Indian-built carrier</t>
  </si>
  <si>
    <t xml:space="preserve">NO INDIAN GPU OR NPU EXISTS AT THIS CLASS. Route: imported SoM on an India-designed and India-built carrier and enclosure (e-con Systems, VVDN Technologies or Syrma SGS all do this). Declare the SoM as imported.</t>
  </si>
  <si>
    <t xml:space="preserve">e-con Systems (Chennai) / VVDN / Syrma SGS</t>
  </si>
  <si>
    <t xml:space="preserve">4-8 wk</t>
  </si>
  <si>
    <t xml:space="preserve">Sizing §8.2: tiled inference at 2 Hz needs ~24 inferences/s at 640x640. THE ONE IRREDUCIBLE IMPORT ON THE AIRCRAFT.</t>
  </si>
  <si>
    <t xml:space="preserve">Camera module</t>
  </si>
  <si>
    <t xml:space="preserve">e-con Systems e-CAM137A_CUMI1335_MOD (13 MP AR1335) or the Orin-Nano variant of the same family</t>
  </si>
  <si>
    <t xml:space="preserve">13 MP, 1/3.2 in onsemi AR1335 CMOS · 4-lane MIPI CSI-2 · integrated high-performance ISP · 4K @ 30 fps · S-mount interchangeable lens holder · 3-year warranty, 8-10 year lifetime support, MTBF ~8 years. e-con has shipped 2 M+ cameras and has 300+ core engineers in Chennai. Ask them to select the exact variant for your carrier and to ISP-tune for high-altitude nadir daylight.</t>
  </si>
  <si>
    <t xml:space="preserve">e-con Systems (Chennai)</t>
  </si>
  <si>
    <t xml:space="preserve">Sizing §8: 13 MP with ~63 deg HFOV at 60 m AGL gives ~1.8 cm/px and a ~93 px person across a ~74 m swath. Verify actual FOV by calibration, not datasheet.</t>
  </si>
  <si>
    <t xml:space="preserve">Lens</t>
  </si>
  <si>
    <t xml:space="preserve">S-mount, ~6 mm, low distortion, IR-cut</t>
  </si>
  <si>
    <t xml:space="preserve">S-mount holder on the e-con module allows lens choice. Confirm the exact focal length against your final sensor format — FOV drives the entire coverage model.</t>
  </si>
  <si>
    <t xml:space="preserve">e-con Systems</t>
  </si>
  <si>
    <t xml:space="preserve">Sizing §8: focal length sets HFOV, which sets swath, GSD and transect count. This is the single most consequential optical choice.</t>
  </si>
  <si>
    <t xml:space="preserve">Camera mount</t>
  </si>
  <si>
    <t xml:space="preserve">In-house: rigid nadir mount, silicone isolated, boresight-adjustable then locked</t>
  </si>
  <si>
    <t xml:space="preserve">Machined or printed in-house. Must be adjustable for calibration, then mechanically locked and re-verified.</t>
  </si>
  <si>
    <t xml:space="preserve">In-house</t>
  </si>
  <si>
    <t xml:space="preserve">Sizing §11: boresight residual is SYSTEMATIC error that frame averaging cannot remove. The mount design is an accuracy component, not a bracket.</t>
  </si>
  <si>
    <t xml:space="preserve">Storage</t>
  </si>
  <si>
    <t xml:space="preserve">256 GB M.2 NVMe</t>
  </si>
  <si>
    <t xml:space="preserve">No Indian NAND or controller. Bought through an Indian distributor.</t>
  </si>
  <si>
    <t xml:space="preserve">Indian distributor</t>
  </si>
  <si>
    <t xml:space="preserve">Onboard raw-imagery recording feeds the Phase 7 dataset — every sortie should grow the training set.</t>
  </si>
  <si>
    <t xml:space="preserve">Cooling and cabling</t>
  </si>
  <si>
    <t xml:space="preserve">5 V blower + printed duct, CSI ribbon, Ethernet to FC</t>
  </si>
  <si>
    <t xml:space="preserve">Blower and duct in-house; CSI cable from e-con with the camera.</t>
  </si>
  <si>
    <t xml:space="preserve">In-house + e-con</t>
  </si>
  <si>
    <t xml:space="preserve">Sizing §14: the worst thermal case is the 5-minute ground setup with props stopped at 35 C ambient, not flight.</t>
  </si>
  <si>
    <t xml:space="preserve">STRUCTURE</t>
  </si>
  <si>
    <t xml:space="preserve">Arm tube</t>
  </si>
  <si>
    <t xml:space="preserve">CF round tube 25 x 23 x 400 mm, roll-wrapped or pultruded</t>
  </si>
  <si>
    <t xml:space="preserve">Indian composites houses supply UD/twill CF tube to drawing. Carbon precursor fibre is imported; Epsilon Carbon is commissioning Indian PAN fibre.</t>
  </si>
  <si>
    <t xml:space="preserve">Kineco Kaman (Goa) / Composite Technology Park (Bengaluru)</t>
  </si>
  <si>
    <t xml:space="preserve">Sizing §13: arm root moment 9.4 N·m at T/W 2 gives ~22 MPa vs ~600 MPa for UD carbon, SF ~28. The clamp joint and vibration fatigue are the real drivers, not the tube.</t>
  </si>
  <si>
    <t xml:space="preserve">Centre plates</t>
  </si>
  <si>
    <t xml:space="preserve">CF sandwich 2.5 mm, CNC cut to drawing, top + bottom</t>
  </si>
  <si>
    <t xml:space="preserve">Cut to your CAD by an Indian composites job shop.</t>
  </si>
  <si>
    <t xml:space="preserve">Composite Technology Park / local CNC</t>
  </si>
  <si>
    <t xml:space="preserve">Rule C3 forbids a market-ready airframe — this must be your own design, and the plates are where that is most visible.</t>
  </si>
  <si>
    <t xml:space="preserve">Arm clamps</t>
  </si>
  <si>
    <t xml:space="preserve">Machined Al 6061-T6, 25 mm bore, anti-rotation key</t>
  </si>
  <si>
    <t xml:space="preserve">Small-batch CNC from the Pune / Coimbatore / Bengaluru machining belt.</t>
  </si>
  <si>
    <t xml:space="preserve">Local precision machine shop</t>
  </si>
  <si>
    <t xml:space="preserve">Highest-risk mechanical joint on the aircraft. Torque to spec with a calibrated driver; do not tighten to feel.</t>
  </si>
  <si>
    <t xml:space="preserve">Motor mount plates</t>
  </si>
  <si>
    <t xml:space="preserve">CF 3 mm, saddle, bolt pattern matched to the RD 5008 (6 mm shaft, phi 55.6 mm body)</t>
  </si>
  <si>
    <t xml:space="preserve">Cut to drawing.</t>
  </si>
  <si>
    <t xml:space="preserve">Local CNC</t>
  </si>
  <si>
    <t xml:space="preserve">Bolt pattern taken from the verified RD 5008 dimensions.</t>
  </si>
  <si>
    <t xml:space="preserve">Landing gear</t>
  </si>
  <si>
    <t xml:space="preserve">CF tube 16 x 300 mm x4 with TPU feet</t>
  </si>
  <si>
    <t xml:space="preserve">Tube from the same composites supplier; feet printed in-house.</t>
  </si>
  <si>
    <t xml:space="preserve">Kineco / in-house</t>
  </si>
  <si>
    <t xml:space="preserve">Must absorb a 1.5 m/s touchdown at 5.5 kg and keep the payload magazine clear of the ground.</t>
  </si>
  <si>
    <t xml:space="preserve">Battery tray, canopy, mounts</t>
  </si>
  <si>
    <t xml:space="preserve">CF tray, printed PETG/ASA canopy, silicone FC damping mount</t>
  </si>
  <si>
    <t xml:space="preserve">Printed on an Indian FDM machine (Fracktal Works, Divide By Zero, AHA 3D).</t>
  </si>
  <si>
    <t xml:space="preserve">IMU vibration is the leading cause of EKF failure on student builds — the damping mount is a flight-critical part, not trim.</t>
  </si>
  <si>
    <t xml:space="preserve">Fasteners</t>
  </si>
  <si>
    <t xml:space="preserve">M3 socket cap A2, nyloc, washers, heat inserts (~120 pcs)</t>
  </si>
  <si>
    <t xml:space="preserve">Sundram Fasteners (Chennai) is a world-class Indian fastener manufacturer.</t>
  </si>
  <si>
    <t xml:space="preserve">Sundram Fasteners / local</t>
  </si>
  <si>
    <t xml:space="preserve">No indigenisation gap at all in this category.</t>
  </si>
  <si>
    <t xml:space="preserve">Standoffs, grommets, harness hardware</t>
  </si>
  <si>
    <t xml:space="preserve">M3 aluminium standoffs, rubber grommets, P-clips, spiral wrap</t>
  </si>
  <si>
    <t xml:space="preserve">Local hardware.</t>
  </si>
  <si>
    <t xml:space="preserve">Local</t>
  </si>
  <si>
    <t xml:space="preserve">Chafe protection where the harness crosses carbon — CF dust is both abrasive and electrically conductive.</t>
  </si>
  <si>
    <t xml:space="preserve">COMMUNICATIONS</t>
  </si>
  <si>
    <t xml:space="preserve">Mesh node</t>
  </si>
  <si>
    <t xml:space="preserve">5.8 GHz 802.11 node running batman-adv, Indian carrier and firmware</t>
  </si>
  <si>
    <t xml:space="preserve">FxUAV Technologies (VSSUT Burla, Odisha) builds indigenous UAV RF datalinks. Wi-Fi chipsets have no Indian source; module design, firmware and Indian spectrum compliance are Indian.</t>
  </si>
  <si>
    <t xml:space="preserve">FxUAV Technologies (Burla, Odisha)</t>
  </si>
  <si>
    <t xml:space="preserve">Sizing §12: offered load 2.5 Mbps against &gt;=26 Mbps at MCS3, 13.7 dB margin at 600 m. Lock the link to a low MCS — a slow link that never drops beats a fast one that renegotiates.</t>
  </si>
  <si>
    <t xml:space="preserve">Sub-GHz safety link</t>
  </si>
  <si>
    <t xml:space="preserve">865-867 MHz (Indian delicensed SRD band) telemetry, abort and recall</t>
  </si>
  <si>
    <t xml:space="preserve">SX126x-class transceiver is imported; module, firmware, antenna and ETA documentation are Indian.</t>
  </si>
  <si>
    <t xml:space="preserve">FxUAV / Indian LoRa module house</t>
  </si>
  <si>
    <t xml:space="preserve">Sizing §12: 53 dB margin at 600 m. Abort and recall (rule C16) live here because this is the link that does not fail.</t>
  </si>
  <si>
    <t xml:space="preserve">Antennas</t>
  </si>
  <si>
    <t xml:space="preserve">3 dBi dipole 5.15-5.9 GHz x2, 2 dBi 868 MHz x1, with pigtails</t>
  </si>
  <si>
    <t xml:space="preserve">Antenna manufacture is well within Indian capability. Mount the 5.8 GHz and 868 MHz elements orthogonally.</t>
  </si>
  <si>
    <t xml:space="preserve">Indian RF antenna manufacturer</t>
  </si>
  <si>
    <t xml:space="preserve">Sizing §12: air node 24 dBm + 3 dBi = 27 dBm EIRP, legal in the Indian 5.825-5.875 GHz drone allocation (1 W Tx / 4 W EIRP).</t>
  </si>
  <si>
    <t xml:space="preserve">PAYLOAD SYSTEM</t>
  </si>
  <si>
    <t xml:space="preserve">Release servos</t>
  </si>
  <si>
    <t xml:space="preserve">Metal-gear digital micro servo, ~2.5 kg·cm, x4</t>
  </si>
  <si>
    <t xml:space="preserve">One per magazine station.</t>
  </si>
  <si>
    <t xml:space="preserve">Zerodrag / Indian distributor</t>
  </si>
  <si>
    <t xml:space="preserve">Sizing §10: release gated on 6 m AGL and groundspeed below 0.3 m/s. Servo speed is not critical; holding torque and repeatability are.</t>
  </si>
  <si>
    <t xml:space="preserve">Magazine housing</t>
  </si>
  <si>
    <t xml:space="preserve">Printed PETG rails, 4 stations at 200 x 100 x 50 mm</t>
  </si>
  <si>
    <t xml:space="preserve">Printed in-house, mounted on the CG axis.</t>
  </si>
  <si>
    <t xml:space="preserve">Sizing §13: releasing 200 g at 50 mm offset shifts CG 2 mm — small, but it is a STEP input to the attitude loop at the exact moment position accuracy matters.</t>
  </si>
  <si>
    <t xml:space="preserve">Positive-lock detents</t>
  </si>
  <si>
    <t xml:space="preserve">Spring detent + mechanical catch, independent of servo power, x4</t>
  </si>
  <si>
    <t xml:space="preserve">In-house, with springs from an Indian spring maker.</t>
  </si>
  <si>
    <t xml:space="preserve">In-house + local</t>
  </si>
  <si>
    <t xml:space="preserve">CRITICAL SAFETY ITEM. A brownout or servo failure must not release a kit. This is a hard requirement, not a refinement.</t>
  </si>
  <si>
    <t xml:space="preserve">Release confirmation</t>
  </si>
  <si>
    <t xml:space="preserve">Micro lever switch per station, x4</t>
  </si>
  <si>
    <t xml:space="preserve">Feeds delivery confirmation into the shared mission state.</t>
  </si>
  <si>
    <t xml:space="preserve">Indian electronics distributor</t>
  </si>
  <si>
    <t xml:space="preserve">Rule C11 requires per-drone delivery status on the GCS. Sensed confirmation beats assumed confirmation.</t>
  </si>
  <si>
    <t xml:space="preserve">Servo harness</t>
  </si>
  <si>
    <t xml:space="preserve">4-channel PWM from FC AUX outputs</t>
  </si>
  <si>
    <t xml:space="preserve">Routed through the flight controller so the arming state gates release.</t>
  </si>
  <si>
    <t xml:space="preserve">Routing through the FC means a disarmed aircraft physically cannot command a release.</t>
  </si>
  <si>
    <t xml:space="preserve">TOTAL</t>
  </si>
  <si>
    <t xml:space="preserve">02 — PAYLOAD, KITS AND GROUND-TRUTH TARGETS (fleet quantities)</t>
  </si>
  <si>
    <t xml:space="preserve">Effectively 100% indigenous — this category is local fabrication and consumables throughout.</t>
  </si>
  <si>
    <t xml:space="preserve">SURVIVOR KITS — rule C6: exactly 200 g in a 200 x 100 x 50 mm rigid box</t>
  </si>
  <si>
    <t xml:space="preserve">Kit box</t>
  </si>
  <si>
    <t xml:space="preserve">Injection-moulded ABS or corrugated PP, hi-vis orange, 200x100x50 mm</t>
  </si>
  <si>
    <t xml:space="preserve">Made to drawing by a local moulder. 14 built for 12 flown plus 2 spares.</t>
  </si>
  <si>
    <t xml:space="preserve">Local injection moulder</t>
  </si>
  <si>
    <t xml:space="preserve">Sizing §10: must survive a 9.7 m/s impact from a 6 m release. Test this with ballast kits before trusting it.</t>
  </si>
  <si>
    <t xml:space="preserve">Impact padding</t>
  </si>
  <si>
    <t xml:space="preserve">Closed-cell EVA foam liner, 8 mm</t>
  </si>
  <si>
    <t xml:space="preserve">Local foam converter.</t>
  </si>
  <si>
    <t xml:space="preserve">Protects contents and reduces post-impact bounce, which otherwise adds scatter to the measured miss distance.</t>
  </si>
  <si>
    <t xml:space="preserve">Kit contents</t>
  </si>
  <si>
    <t xml:space="preserve">Bandage roll, ORS sachets, whistle, glow stick, emergency blanket, water pouch</t>
  </si>
  <si>
    <t xml:space="preserve">All locally available. ORS in particular is an Indian staple product.</t>
  </si>
  <si>
    <t xml:space="preserve">Local pharmacy</t>
  </si>
  <si>
    <t xml:space="preserve">Box, padding and contents together must total exactly 200.0 g. Weigh and log every kit individually on a 0.1 g scale.</t>
  </si>
  <si>
    <t xml:space="preserve">Trim ballast</t>
  </si>
  <si>
    <t xml:space="preserve">Steel shot sachet to bring each kit to 200.0 g</t>
  </si>
  <si>
    <t xml:space="preserve">Local.</t>
  </si>
  <si>
    <t xml:space="preserve">Rule C6 is exact, not approximate.</t>
  </si>
  <si>
    <t xml:space="preserve">Test dummy kits</t>
  </si>
  <si>
    <t xml:space="preserve">Ballast-only boxes, identical mass and dimensions, x24</t>
  </si>
  <si>
    <t xml:space="preserve">Built in-house so real kits are never consumed in testing.</t>
  </si>
  <si>
    <t xml:space="preserve">Development Plan P8 requires &gt;=30 instrumented drops to establish delivery CEP.</t>
  </si>
  <si>
    <t xml:space="preserve">GROUND-TRUTH TARGETS — Phase 7 detection and Phase 8 delivery campaigns</t>
  </si>
  <si>
    <t xml:space="preserve">Survivor mannequins</t>
  </si>
  <si>
    <t xml:space="preserve">Human-size, articulable to supine / prone / seated, weather-tolerant, x6</t>
  </si>
  <si>
    <t xml:space="preserve">Local fibreglass or mannequin fabricator.</t>
  </si>
  <si>
    <t xml:space="preserve">Local fabricator</t>
  </si>
  <si>
    <t xml:space="preserve">Dress them in clothing typical of an Indian flood-affected population. HERIDAL and SARD will not teach the model that distribution.</t>
  </si>
  <si>
    <t xml:space="preserve">Target clothing sets</t>
  </si>
  <si>
    <t xml:space="preserve">Varied contrast including low-contrast earth tones, saris, kurtas, x6</t>
  </si>
  <si>
    <t xml:space="preserve">Prevents the detector learning "bright clothing" as the survivor cue.</t>
  </si>
  <si>
    <t xml:space="preserve">Drop-zone target mats</t>
  </si>
  <si>
    <t xml:space="preserve">5 m concentric-ring mat with an RTK-surveyed centre, x3</t>
  </si>
  <si>
    <t xml:space="preserve">Local fabricator.</t>
  </si>
  <si>
    <t xml:space="preserve">Measures delivery CEP directly against the Sizing §10 target of &lt;=3 m.</t>
  </si>
  <si>
    <t xml:space="preserve">Calibration markers</t>
  </si>
  <si>
    <t xml:space="preserve">600 mm checkerboard / AprilTag panels on rigid board, surveyed, x12</t>
  </si>
  <si>
    <t xml:space="preserve">Printed locally and mounted on aluminium composite — flatness matters more than print quality.</t>
  </si>
  <si>
    <t xml:space="preserve">Sizing §11: boresight and lever-arm calibration removes systematic bias that no amount of frame averaging will.</t>
  </si>
  <si>
    <t xml:space="preserve">03 — GROUND SEGMENT AND FIELD INFRASTRUCTURE</t>
  </si>
  <si>
    <t xml:space="preserve">India is strong on power, solar, masts and safety. Computing hardware is the weak spot; GNSS is a bright spot.</t>
  </si>
  <si>
    <t xml:space="preserve">GROUND CONTROL STATION</t>
  </si>
  <si>
    <t xml:space="preserve">GCS laptop</t>
  </si>
  <si>
    <t xml:space="preserve">16 GB RAM, discrete GPU, 1 TB SSD</t>
  </si>
  <si>
    <t xml:space="preserve">Assembled in India under PLI by Dixon, VVDN or Syrma for several brands. CPU, GPU and memory are imported — there is no Indian x86 or discrete GPU.</t>
  </si>
  <si>
    <t xml:space="preserve">Indian-manufactured unit</t>
  </si>
  <si>
    <t xml:space="preserve">Runs the custom GCS, MAVLink router, mesh node and video decode. Rule C10 permits exactly one Ground Control Station.</t>
  </si>
  <si>
    <t xml:space="preserve">Backup laptop</t>
  </si>
  <si>
    <t xml:space="preserve">Cloned image, powered and ready to swap</t>
  </si>
  <si>
    <t xml:space="preserve">Same source.</t>
  </si>
  <si>
    <t xml:space="preserve">A GCS failure ends the mission. This is the cheapest single-point-of-failure removal available.</t>
  </si>
  <si>
    <t xml:space="preserve">Sun hood + observer monitor</t>
  </si>
  <si>
    <t xml:space="preserve">Laptop hood (locally made) + 15 in portable monitor</t>
  </si>
  <si>
    <t xml:space="preserve">Hood fabricated locally; panel imported.</t>
  </si>
  <si>
    <t xml:space="preserve">Local + distributor</t>
  </si>
  <si>
    <t xml:space="preserve">Rule C15 is daylight outdoors. You cannot read a laptop screen in Indian midday sun, and this screen is the judges entire view of your system.</t>
  </si>
  <si>
    <t xml:space="preserve">MESH GROUND NODE AND RTK BASE</t>
  </si>
  <si>
    <t xml:space="preserve">Ground mesh node</t>
  </si>
  <si>
    <t xml:space="preserve">Matched to the airborne node, weatherproof enclosure</t>
  </si>
  <si>
    <t xml:space="preserve">Same supplier as the air nodes for guaranteed interoperability.</t>
  </si>
  <si>
    <t xml:space="preserve">FxUAV Technologies (Burla)</t>
  </si>
  <si>
    <t xml:space="preserve">Sizing §12.</t>
  </si>
  <si>
    <t xml:space="preserve">Sector antenna</t>
  </si>
  <si>
    <t xml:space="preserve">9 dBi, 5.15-5.9 GHz, 90-120 deg sector, x2</t>
  </si>
  <si>
    <t xml:space="preserve">Indian RF antenna manufacture is capable here.</t>
  </si>
  <si>
    <t xml:space="preserve">Sizing §12: 9 dBi at the GCS gives 33 dBm EIRP (legal) and 13.7 dB margin at 600 m.</t>
  </si>
  <si>
    <t xml:space="preserve">Antenna mast</t>
  </si>
  <si>
    <t xml:space="preserve">2 m telescopic mast, tripod, guys</t>
  </si>
  <si>
    <t xml:space="preserve">Indian mast and tripod manufacture.</t>
  </si>
  <si>
    <t xml:space="preserve">Indian supplier</t>
  </si>
  <si>
    <t xml:space="preserve">Sizing §12: raising the ground antenna is the cheapest link-margin improvement in the system — ground-level antennas lose 6-10 dB to clutter.</t>
  </si>
  <si>
    <t xml:space="preserve">RTK base receiver</t>
  </si>
  <si>
    <t xml:space="preserve">NavIC + GNSS base with survey-grade antenna</t>
  </si>
  <si>
    <t xml:space="preserve">Accord Software &amp; Systems (Bengaluru) has decades of Indian GNSS and NavIC receiver heritage. CONFIRM: base-mode RTCM3 output and compatibility with the airborne receiver.</t>
  </si>
  <si>
    <t xml:space="preserve">Accord Software (Bengaluru) / Elena Geo</t>
  </si>
  <si>
    <t xml:space="preserve">4 wk</t>
  </si>
  <si>
    <t xml:space="preserve">Sizing §11: takes geotag CEP50 from ~2.5 m to ~1.1 m. Corrections travel on the team local link, not the internet. PENDING organiser confirmation (clarification Q1).</t>
  </si>
  <si>
    <t xml:space="preserve">Survey tripod + tribrach</t>
  </si>
  <si>
    <t xml:space="preserve">Fixed-height survey tripod</t>
  </si>
  <si>
    <t xml:space="preserve">Indian survey equipment supplier.</t>
  </si>
  <si>
    <t xml:space="preserve">Base position must be stable and repeatable across the whole test campaign.</t>
  </si>
  <si>
    <t xml:space="preserve">Base-to-rover link</t>
  </si>
  <si>
    <t xml:space="preserve">865-867 MHz RTCM broadcast</t>
  </si>
  <si>
    <t xml:space="preserve">Same family as the airborne safety link.</t>
  </si>
  <si>
    <t xml:space="preserve">FxUAV</t>
  </si>
  <si>
    <t xml:space="preserve">Team-owned local link, compliant with rule C12.</t>
  </si>
  <si>
    <t xml:space="preserve">FIELD POWER, INFRASTRUCTURE AND SAFETY</t>
  </si>
  <si>
    <t xml:space="preserve">Portable power station</t>
  </si>
  <si>
    <t xml:space="preserve">1.5-2 kWh LiFePO4 with AC output</t>
  </si>
  <si>
    <t xml:space="preserve">Okaya, Luminous, Exide and Servotech all manufacture in India. Cells imported, pack and inverter Indian.</t>
  </si>
  <si>
    <t xml:space="preserve">Okaya / Luminous / Exide</t>
  </si>
  <si>
    <t xml:space="preserve">Charging three 292 Wh packs between sorties plus GCS and instruments; a test day is 6-10 sorties.</t>
  </si>
  <si>
    <t xml:space="preserve">Solar panel</t>
  </si>
  <si>
    <t xml:space="preserve">200 W folding</t>
  </si>
  <si>
    <t xml:space="preserve">India has genuine world-scale PV manufacture.</t>
  </si>
  <si>
    <t xml:space="preserve">Waaree / Vikram Solar / Adani</t>
  </si>
  <si>
    <t xml:space="preserve">Optional. Useful for remote Phase 7 data-campaign sites.</t>
  </si>
  <si>
    <t xml:space="preserve">Landing pad</t>
  </si>
  <si>
    <t xml:space="preserve">3.66 x 3.66 m marked pad, pegged, with launch-order position markers</t>
  </si>
  <si>
    <t xml:space="preserve">Locally fabricated to the exact rule dimension.</t>
  </si>
  <si>
    <t xml:space="preserve">Rule C14 fixes 12 ft. Practise every launch and recovery on an exactly-sized pad from the first flight.</t>
  </si>
  <si>
    <t xml:space="preserve">Anemometer + windsock</t>
  </si>
  <si>
    <t xml:space="preserve">Handheld logging anemometer + 600 mm windsock</t>
  </si>
  <si>
    <t xml:space="preserve">Indian instrument brands (HTC, Metravi) assemble in India; sensing element imported.</t>
  </si>
  <si>
    <t xml:space="preserve">HTC / Metravi</t>
  </si>
  <si>
    <t xml:space="preserve">Sizing §9.2: the wind policy is constant GROUNDSPEED. You must measure wind to verify it and to log conditions per sortie.</t>
  </si>
  <si>
    <t xml:space="preserve">Field table, canopy, cases</t>
  </si>
  <si>
    <t xml:space="preserve">Folding table, 3x3 m canopy, 4 wheeled hard cases with cut foam</t>
  </si>
  <si>
    <t xml:space="preserve">Locally sourced; foam cut in-house to the setup choreography.</t>
  </si>
  <si>
    <t xml:space="preserve">Sizing §15: the 5-minute setup starts with getting aircraft out of cases. Foam layout is part of the timed procedure.</t>
  </si>
  <si>
    <t xml:space="preserve">Safety kit</t>
  </si>
  <si>
    <t xml:space="preserve">Li-ion fire-resistant bags x6, lithium-rated extinguisher x2, dry sand, trauma first aid, hi-vis, eye protection</t>
  </si>
  <si>
    <t xml:space="preserve">Indian fire-safety manufacture is strong.</t>
  </si>
  <si>
    <t xml:space="preserve">Local suppliers</t>
  </si>
  <si>
    <t xml:space="preserve">17 in carbon props at 6500 RPM cause serious injuries, and 292 Wh of lithium will not be stopped by water or CO2. Have this before the first spin-up.</t>
  </si>
  <si>
    <t xml:space="preserve">Safety-pilot transmitter</t>
  </si>
  <si>
    <t xml:space="preserve">ELRS 2.4 GHz TX matched to the aircraft receivers</t>
  </si>
  <si>
    <t xml:space="preserve">Indian ELRS hardware from Zerodrag.</t>
  </si>
  <si>
    <t xml:space="preserve">Zerodrag</t>
  </si>
  <si>
    <t xml:space="preserve">Manual override during testing; unused in the scored run.</t>
  </si>
  <si>
    <t xml:space="preserve">Barrier tape and cones</t>
  </si>
  <si>
    <t xml:space="preserve">100 m tape, 8 cones</t>
  </si>
  <si>
    <t xml:space="preserve">Keeps spectators out of the descent cone at test sites.</t>
  </si>
  <si>
    <t xml:space="preserve">04 — TEST, LAB AND CALIBRATION EQUIPMENT</t>
  </si>
  <si>
    <t xml:space="preserve">India is strong in balances, instruments, hand tools and 3D printers. Weak in hobby chargers — outsource pack building instead of buying a spot welder.</t>
  </si>
  <si>
    <t xml:space="preserve">PROPULSION AND POWER — retires Sizing §16 assumptions A1, A2, A4, A5</t>
  </si>
  <si>
    <t xml:space="preserve">Thrust stand</t>
  </si>
  <si>
    <t xml:space="preserve">In-house rig: thrust + torque + RPM + electrical power, to 5 kgf</t>
  </si>
  <si>
    <t xml:space="preserve">Built around Indian load cells (Sensocon, Instrumentation Ltd Kota) and an Indian DAQ. A third of the cost of an imported RCbenchmark and itself a legitimate engineering deliverable.</t>
  </si>
  <si>
    <t xml:space="preserve">In-house + Sensocon</t>
  </si>
  <si>
    <t xml:space="preserve">Sizing §16 A1: figure of merit is assumed 0.60 and is the largest uncertainty in the power model. Reflex Drive publish their own bench data, which lets you validate the rig before trusting it.</t>
  </si>
  <si>
    <t xml:space="preserve">Power analyser</t>
  </si>
  <si>
    <t xml:space="preserve">Inline watt meter, 130 A, logging, x2</t>
  </si>
  <si>
    <t xml:space="preserve">Meco Instruments manufactures test instruments in Mumbai.</t>
  </si>
  <si>
    <t xml:space="preserve">Meco Instruments (Mumbai)</t>
  </si>
  <si>
    <t xml:space="preserve">Measures real hover current against the 37 A predicted. Reflex Drives published table gives you an independent cross-check.</t>
  </si>
  <si>
    <t xml:space="preserve">Battery chargers</t>
  </si>
  <si>
    <t xml:space="preserve">6S balance charger, 300-1000 W, x2</t>
  </si>
  <si>
    <t xml:space="preserve">GAP: hobby-grade balance chargers are almost entirely imported. Indian agri-drone charger suppliers are the closest domestic option — ask for a 6S variant.</t>
  </si>
  <si>
    <t xml:space="preserve">Bharath Components / IoTechWorld</t>
  </si>
  <si>
    <t xml:space="preserve">A 292 Wh pack at 1C needs ~300 W. Two chargers keep a test day moving.</t>
  </si>
  <si>
    <t xml:space="preserve">Charger PSU</t>
  </si>
  <si>
    <t xml:space="preserve">24 V 40 A bench supply, x2</t>
  </si>
  <si>
    <t xml:space="preserve">Aplab and Scientific Mes-Technik are long-standing Indian instrument manufacturers.</t>
  </si>
  <si>
    <t xml:space="preserve">Aplab / Scientific Mes-Technik</t>
  </si>
  <si>
    <t xml:space="preserve">Feeds the chargers at rated power.</t>
  </si>
  <si>
    <t xml:space="preserve">MEASUREMENT AND CALIBRATION</t>
  </si>
  <si>
    <t xml:space="preserve">Precision scale</t>
  </si>
  <si>
    <t xml:space="preserve">0.1 g resolution, 5 kg capacity</t>
  </si>
  <si>
    <t xml:space="preserve">Aczet and Contech are genuine Indian precision balance manufacturers.</t>
  </si>
  <si>
    <t xml:space="preserve">Aczet (Mumbai) / Contech</t>
  </si>
  <si>
    <t xml:space="preserve">Every part weighed on arrival; kits trimmed to exactly 200 g per rule C6.</t>
  </si>
  <si>
    <t xml:space="preserve">Hanging scale — FLEET WEIGH-IN</t>
  </si>
  <si>
    <t xml:space="preserve">Calibrated, 50 kg, 10 g resolution</t>
  </si>
  <si>
    <t xml:space="preserve">Contech and Essae-Teraoka manufacture in India.</t>
  </si>
  <si>
    <t xml:space="preserve">Contech / Essae-Teraoka (Bengaluru)</t>
  </si>
  <si>
    <t xml:space="preserve">Rule C2 is a pass/fail check at 25 kg. Own a calibrated scale rather than discovering a discrepancy at the venue.</t>
  </si>
  <si>
    <t xml:space="preserve">Calipers and micrometer</t>
  </si>
  <si>
    <t xml:space="preserve">150 mm digital calipers, 0-25 mm micrometer</t>
  </si>
  <si>
    <t xml:space="preserve">Baker Gauges India (Pune) is an Indian precision metrology manufacturer.</t>
  </si>
  <si>
    <t xml:space="preserve">Baker Gauges India (Pune)</t>
  </si>
  <si>
    <t xml:space="preserve">CF tube OD/ID verification and fastener checks.</t>
  </si>
  <si>
    <t xml:space="preserve">Torque driver</t>
  </si>
  <si>
    <t xml:space="preserve">1-6 N·m adjustable with hex/Torx bits</t>
  </si>
  <si>
    <t xml:space="preserve">Groz and Taparia manufacture hand tools in India.</t>
  </si>
  <si>
    <t xml:space="preserve">Groz / Taparia</t>
  </si>
  <si>
    <t xml:space="preserve">Under-torqued arm clamps creep under vibration; over-torqued ones crush the carbon tube. Both are avoidable with INR 6,500.</t>
  </si>
  <si>
    <t xml:space="preserve">Prop balancer</t>
  </si>
  <si>
    <t xml:space="preserve">Magnetic balancer for 17 in props</t>
  </si>
  <si>
    <t xml:space="preserve">Easily fabricated in-house.</t>
  </si>
  <si>
    <t xml:space="preserve">Local / in-house</t>
  </si>
  <si>
    <t xml:space="preserve">Sizing §13: vibration fatigue is the real structural driver, and unbalanced props are its main source.</t>
  </si>
  <si>
    <t xml:space="preserve">Camera calibration target</t>
  </si>
  <si>
    <t xml:space="preserve">A2 checkerboard on rigid aluminium composite + AprilTag set</t>
  </si>
  <si>
    <t xml:space="preserve">Printed locally; flatness is what matters.</t>
  </si>
  <si>
    <t xml:space="preserve">Local print + in-house mount</t>
  </si>
  <si>
    <t xml:space="preserve">Sizing §11: intrinsics AND boresight extrinsics. Skipping the second leaves a 3-5 m systematic geotag bias that looks like random error.</t>
  </si>
  <si>
    <t xml:space="preserve">BENCH AND FABRICATION</t>
  </si>
  <si>
    <t xml:space="preserve">Soldering station</t>
  </si>
  <si>
    <t xml:space="preserve">Temperature-controlled 80-100 W with a large chisel tip</t>
  </si>
  <si>
    <t xml:space="preserve">Soldron is an established Indian brand.</t>
  </si>
  <si>
    <t xml:space="preserve">Soldron / Indian distributor</t>
  </si>
  <si>
    <t xml:space="preserve">10 AWG to an XT90-S needs real thermal mass. A 30 W iron produces cold joints that fail in flight.</t>
  </si>
  <si>
    <t xml:space="preserve">Bench power supply</t>
  </si>
  <si>
    <t xml:space="preserve">0-30 V 10 A, current-limited</t>
  </si>
  <si>
    <t xml:space="preserve">Aplab and Scientific Mes-Technik.</t>
  </si>
  <si>
    <t xml:space="preserve">Aplab</t>
  </si>
  <si>
    <t xml:space="preserve">Bringing up new boards current-limited will save at least one compute module over the programme.</t>
  </si>
  <si>
    <t xml:space="preserve">Multimeters</t>
  </si>
  <si>
    <t xml:space="preserve">True-RMS, 10 A range, x2</t>
  </si>
  <si>
    <t xml:space="preserve">Meco Instruments manufactures in Mumbai.</t>
  </si>
  <si>
    <t xml:space="preserve">Meco Instruments</t>
  </si>
  <si>
    <t xml:space="preserve">3D printer</t>
  </si>
  <si>
    <t xml:space="preserve">FDM, 250 mm bed, PETG/ASA capable</t>
  </si>
  <si>
    <t xml:space="preserve">Fracktal Works (Bengaluru), Divide By Zero (Mumbai) and AHA 3D (Jaipur) are genuine Indian 3D printer manufacturers with local support.</t>
  </si>
  <si>
    <t xml:space="preserve">Fracktal Works (Bengaluru)</t>
  </si>
  <si>
    <t xml:space="preserve">Canopy, magazine, ducts, jigs and dozens of release-mechanism iterations. Owning one beats outsourcing on iteration speed.</t>
  </si>
  <si>
    <t xml:space="preserve">Hand tools and rework</t>
  </si>
  <si>
    <t xml:space="preserve">Hex, Torx, pliers, strippers, cutters, hot air, CF dust extraction, P2 masks</t>
  </si>
  <si>
    <t xml:space="preserve">Indian hand tools are excellent and inexpensive.</t>
  </si>
  <si>
    <t xml:space="preserve">Taparia / Groz / Jhalani</t>
  </si>
  <si>
    <t xml:space="preserve">CARBON DUST IS A RESPIRATORY AND ELECTRICAL HAZARD. Extraction and masks are not optional line items.</t>
  </si>
  <si>
    <t xml:space="preserve">SIMULATION AND TRAINING COMPUTE</t>
  </si>
  <si>
    <t xml:space="preserve">Dev workstation</t>
  </si>
  <si>
    <t xml:space="preserve">RTX-class GPU, 32 GB RAM</t>
  </si>
  <si>
    <t xml:space="preserve">Assembled in India; GPU silicon imported.</t>
  </si>
  <si>
    <t xml:space="preserve">Indian integrator</t>
  </si>
  <si>
    <t xml:space="preserve">Development Plan P4/P7: 200-run Monte Carlo campaigns and detector training.</t>
  </si>
  <si>
    <t xml:space="preserve">Indian GPU cloud</t>
  </si>
  <si>
    <t xml:space="preserve">Training compute credits</t>
  </si>
  <si>
    <t xml:space="preserve">E2E Networks, Yotta and NxtGen offer Indian GPU cloud — a genuinely indigenous option for TRAINING, unlike inference silicon.</t>
  </si>
  <si>
    <t xml:space="preserve">E2E Networks / Yotta / NxtGen</t>
  </si>
  <si>
    <t xml:space="preserve">NIDAR provides cloud credits to winning teams. Worth using regardless — it moves training off the critical path of buying hardware.</t>
  </si>
  <si>
    <t xml:space="preserve">05 — SPARES AND CONSUMABLES</t>
  </si>
  <si>
    <t xml:space="preserve">Reflex Drive and Agam both hold MOQ 1, so spares can be ordered in single units at list price.</t>
  </si>
  <si>
    <t xml:space="preserve">FLIGHT SPARES — Development Plan R4: a crash near the finals must not end the programme</t>
  </si>
  <si>
    <t xml:space="preserve">Spare motors</t>
  </si>
  <si>
    <t xml:space="preserve">RD MI-5008 KV340, one full set of 4</t>
  </si>
  <si>
    <t xml:space="preserve">As flight item.</t>
  </si>
  <si>
    <t xml:space="preserve">Domestic lead time of 2-3 weeks versus 4-6 for imports is worth more than the price saving when something breaks in week 28.</t>
  </si>
  <si>
    <t xml:space="preserve">Spare ESCs</t>
  </si>
  <si>
    <t xml:space="preserve">RD A-Series 60 A FOC, one full set of 4</t>
  </si>
  <si>
    <t xml:space="preserve">ESCs fail from vibration and heat, and they fail without warning.</t>
  </si>
  <si>
    <t xml:space="preserve">Spare propellers</t>
  </si>
  <si>
    <t xml:space="preserve">RD 1760 17x6.0, 6 pairs</t>
  </si>
  <si>
    <t xml:space="preserve">Props are consumed by every hard landing. Six pairs is a realistic season.</t>
  </si>
  <si>
    <t xml:space="preserve">Spare arm assemblies</t>
  </si>
  <si>
    <t xml:space="preserve">Tube + clamp + motor mount, pre-built, x4</t>
  </si>
  <si>
    <t xml:space="preserve">Pre-build so a field repair is a 10-minute swap, not an afternoon.</t>
  </si>
  <si>
    <t xml:space="preserve">Arms are what break in a tip-over.</t>
  </si>
  <si>
    <t xml:space="preserve">Spare flight controller</t>
  </si>
  <si>
    <t xml:space="preserve">Agam Autopilot V6X-RT Full Set, pre-flashed with the frozen parameter set</t>
  </si>
  <si>
    <t xml:space="preserve">Development Plan P10 config freeze applies to the spare too.</t>
  </si>
  <si>
    <t xml:space="preserve">Spare GNSS</t>
  </si>
  <si>
    <t xml:space="preserve">NavIC receiver + antenna</t>
  </si>
  <si>
    <t xml:space="preserve">Teravolt / Accord</t>
  </si>
  <si>
    <t xml:space="preserve">Spare compute module</t>
  </si>
  <si>
    <t xml:space="preserve">Imaged, with the inference engine pre-built</t>
  </si>
  <si>
    <t xml:space="preserve">Same import gap as the primary.</t>
  </si>
  <si>
    <t xml:space="preserve">As per tab 01</t>
  </si>
  <si>
    <t xml:space="preserve">Sizing §15: never build the inference engine at boot. The spare must be imaged and warm-cached in advance.</t>
  </si>
  <si>
    <t xml:space="preserve">Spare camera + lens</t>
  </si>
  <si>
    <t xml:space="preserve">e-con module, boresight-calibrated on a spare mount</t>
  </si>
  <si>
    <t xml:space="preserve">Swapping the camera invalidates the boresight calibration — calibrate the spare before you need it.</t>
  </si>
  <si>
    <t xml:space="preserve">Spare battery packs</t>
  </si>
  <si>
    <t xml:space="preserve">Complete 6S3P packs, x3</t>
  </si>
  <si>
    <t xml:space="preserve">Two packs per aircraft minimum so a test day is not charger-limited; the third is the crash reserve.</t>
  </si>
  <si>
    <t xml:space="preserve">Indian pack house</t>
  </si>
  <si>
    <t xml:space="preserve">COMPLETE SPARE AIRCRAFT</t>
  </si>
  <si>
    <t xml:space="preserve">Fourth airframe, built and flight-tested</t>
  </si>
  <si>
    <t xml:space="preserve">Built from this BOM. Domestic sourcing makes this far more affordable than with imported parts.</t>
  </si>
  <si>
    <t xml:space="preserve">8 wk</t>
  </si>
  <si>
    <t xml:space="preserve">STRONGLY RECOMMENDED. Rule C1 needs only two flying, but a pre-flight failure on finals day with no spare means flying two and losing a third of your coverage.</t>
  </si>
  <si>
    <t xml:space="preserve">CONSUMABLES</t>
  </si>
  <si>
    <t xml:space="preserve">Adhesives</t>
  </si>
  <si>
    <t xml:space="preserve">Medium-strength threadlocker, CA thin/thick, structural epoxy</t>
  </si>
  <si>
    <t xml:space="preserve">Pidilite and Anabond are strong Indian adhesive manufacturers.</t>
  </si>
  <si>
    <t xml:space="preserve">Pidilite / Anabond</t>
  </si>
  <si>
    <t xml:space="preserve">Medium-strength threadlocker on every fastener, so field disassembly stays possible.</t>
  </si>
  <si>
    <t xml:space="preserve">Electrical consumables</t>
  </si>
  <si>
    <t xml:space="preserve">Adhesive-lined heat shrink, Kapton, fibreglass tape, lacing cord, zip ties, solder, flux</t>
  </si>
  <si>
    <t xml:space="preserve">All locally available.</t>
  </si>
  <si>
    <t xml:space="preserve">3D printer filament</t>
  </si>
  <si>
    <t xml:space="preserve">PETG 3 kg, ASA 1 kg, TPU 1 kg</t>
  </si>
  <si>
    <t xml:space="preserve">WOL3D and Fila3D extrude in India; resin pellets imported.</t>
  </si>
  <si>
    <t xml:space="preserve">WOL3D / Fila3D</t>
  </si>
  <si>
    <t xml:space="preserve">Magazine and canopy iterations consume more filament than anyone expects.</t>
  </si>
  <si>
    <t xml:space="preserve">Carbon plate stock</t>
  </si>
  <si>
    <t xml:space="preserve">2.5 and 3 mm sheets, 400 x 500 mm, x2</t>
  </si>
  <si>
    <t xml:space="preserve">For plate re-cuts and repair doublers.</t>
  </si>
  <si>
    <t xml:space="preserve">Kineco / CTP</t>
  </si>
  <si>
    <t xml:space="preserve">PPE and cleaning</t>
  </si>
  <si>
    <t xml:space="preserve">Nitrile gloves, P2 masks, IPA, lint-free wipes, compressed air</t>
  </si>
  <si>
    <t xml:space="preserve">CF machining, epoxy work, and lens and connector cleaning.</t>
  </si>
  <si>
    <t xml:space="preserve">06 — SOFTWARE, DATA AND COMPLIANCE</t>
  </si>
  <si>
    <t xml:space="preserve">Software is nation-neutral open source. The indigenous asset here is the Indian field dataset.</t>
  </si>
  <si>
    <t xml:space="preserve">FLIGHT, AUTONOMY AND PERCEPTION STACK — open source</t>
  </si>
  <si>
    <t xml:space="preserve">Autopilot firmware</t>
  </si>
  <si>
    <t xml:space="preserve">PX4 (BSD) — supported natively by the Agam V6X-RT</t>
  </si>
  <si>
    <t xml:space="preserve">PX4 under BSD licensing permits adding proprietary features and commercialising the result. ArduPilot is the alternative.</t>
  </si>
  <si>
    <t xml:space="preserve">PX4 / Dronecode</t>
  </si>
  <si>
    <t xml:space="preserve">The Agam FC is FMUv6X-RT standard, so you keep the entire Pixhawk ecosystem while flying Indian hardware.</t>
  </si>
  <si>
    <t xml:space="preserve">Middleware</t>
  </si>
  <si>
    <t xml:space="preserve">ROS 2 + Fast DDS, uXRCE-DDS bridge</t>
  </si>
  <si>
    <t xml:space="preserve">Open source.</t>
  </si>
  <si>
    <t xml:space="preserve">Open Robotics</t>
  </si>
  <si>
    <t xml:space="preserve">DDS discovery and QoS map well onto a lossy mobile mesh. The Agam boards Ethernet port makes the FC-companion link clean.</t>
  </si>
  <si>
    <t xml:space="preserve">MAVLink router</t>
  </si>
  <si>
    <t xml:space="preserve">mavlink-router</t>
  </si>
  <si>
    <t xml:space="preserve">GitHub</t>
  </si>
  <si>
    <t xml:space="preserve">Rule C10: multiplexes three unique SYSIDs into ONE ground station process.</t>
  </si>
  <si>
    <t xml:space="preserve">Mesh routing</t>
  </si>
  <si>
    <t xml:space="preserve">batman-adv</t>
  </si>
  <si>
    <t xml:space="preserve">Layer-2 mesh — the same technology commercial MANET radios run underneath.</t>
  </si>
  <si>
    <t xml:space="preserve">Open Mesh</t>
  </si>
  <si>
    <t xml:space="preserve">Coverage planner</t>
  </si>
  <si>
    <t xml:space="preserve">DARP reference implementation</t>
  </si>
  <si>
    <t xml:space="preserve">Open source, from the paper authors.</t>
  </si>
  <si>
    <t xml:space="preserve">Equal-area partitioning anchored to a common launch point — exactly the 3.66 m box situation.</t>
  </si>
  <si>
    <t xml:space="preserve">Task allocation</t>
  </si>
  <si>
    <t xml:space="preserve">CBBA</t>
  </si>
  <si>
    <t xml:space="preserve">Choi, Brunet &amp; How (2009): provable conflict-free convergence over local comms.</t>
  </si>
  <si>
    <t xml:space="preserve">Reference implementations on GitHub</t>
  </si>
  <si>
    <t xml:space="preserve">Small-object detection</t>
  </si>
  <si>
    <t xml:space="preserve">SAHI tiled inference</t>
  </si>
  <si>
    <t xml:space="preserve">Akyon, Altinuc &amp; Temizel, ICIP 2022.</t>
  </si>
  <si>
    <t xml:space="preserve">Sizing §8.2: recovers the small-object recall that whole-frame resizing destroys.</t>
  </si>
  <si>
    <t xml:space="preserve">Detector</t>
  </si>
  <si>
    <t xml:space="preserve">YOLO-class detector</t>
  </si>
  <si>
    <t xml:space="preserve">CHECK THE LICENCE. Ultralytics is AGPL, which has implications if you distribute. MMDetection is Apache 2.0 and is the safe choice against unknown NIDAR IP terms.</t>
  </si>
  <si>
    <t xml:space="preserve">Open source</t>
  </si>
  <si>
    <t xml:space="preserve">VEGA toolchain</t>
  </si>
  <si>
    <t xml:space="preserve">RISC-V GCC toolchain and BSP</t>
  </si>
  <si>
    <t xml:space="preserve">From C-DAC. Younger than ARM equivalents — engage their support early.</t>
  </si>
  <si>
    <t xml:space="preserve">C-DAC</t>
  </si>
  <si>
    <t xml:space="preserve">Supports the VEGA co-processor subsystem on tab 01.</t>
  </si>
  <si>
    <t xml:space="preserve">DATA — the most important indigenous asset in this programme</t>
  </si>
  <si>
    <t xml:space="preserve">Indian SAR field dataset</t>
  </si>
  <si>
    <t xml:space="preserve">&gt;=2,000 annotated frames: our camera, our altitudes, Indian terrain, clothing and light</t>
  </si>
  <si>
    <t xml:space="preserve">Built in-house during the Phase 7 field campaign. Cost is logistics — transport, volunteers, mannequins, annotation labour.</t>
  </si>
  <si>
    <t xml:space="preserve">12+ wk</t>
  </si>
  <si>
    <t xml:space="preserve">HERIDAL and SARD are European. Their terrain, vegetation, clothing and sun angle do not match an Indian flood plain. Pre-train on them, fine-tune on this.</t>
  </si>
  <si>
    <t xml:space="preserve">Public benchmark datasets</t>
  </si>
  <si>
    <t xml:space="preserve">HERIDAL, SARD, WiSARD</t>
  </si>
  <si>
    <t xml:space="preserve">Free on request from the European research groups. No Indian equivalent exists.</t>
  </si>
  <si>
    <t xml:space="preserve">Research groups</t>
  </si>
  <si>
    <t xml:space="preserve">2-4 wk</t>
  </si>
  <si>
    <t xml:space="preserve">Reproduce published metrics (YOLOv5L: ~0.90 P / ~0.89 R on HERIDAL) to validate the pipeline before trusting your own data. Consider publishing yours — that alone is a strong NIDAR outcome.</t>
  </si>
  <si>
    <t xml:space="preserve">Annotation tooling</t>
  </si>
  <si>
    <t xml:space="preserve">CVAT, self-hosted on Indian cloud</t>
  </si>
  <si>
    <t xml:space="preserve">Open source; self-host to avoid per-seat cost across 2,000+ frames.</t>
  </si>
  <si>
    <t xml:space="preserve">CVAT</t>
  </si>
  <si>
    <t xml:space="preserve">Offline map tiles</t>
  </si>
  <si>
    <t xml:space="preserve">Cached basemap for the venue and all test sites</t>
  </si>
  <si>
    <t xml:space="preserve">ISRO Bhuvan imagery is Indian, free and appropriate for the boundary display required by rule C11.</t>
  </si>
  <si>
    <t xml:space="preserve">ISRO Bhuvan</t>
  </si>
  <si>
    <t xml:space="preserve">RULE C12 FORBIDS INTERNET — online tiles will not load at the venue. Teams lose points to this every year. Cache in advance.</t>
  </si>
  <si>
    <t xml:space="preserve">REGULATORY</t>
  </si>
  <si>
    <t xml:space="preserve">DGCA airspace and operations</t>
  </si>
  <si>
    <t xml:space="preserve">Zone check per test site, operator and pilot requirements</t>
  </si>
  <si>
    <t xml:space="preserve">Digital Sky portal.</t>
  </si>
  <si>
    <t xml:space="preserve">DGCA</t>
  </si>
  <si>
    <t xml:space="preserve">Development Plan P0 exit gate. Confirm the zone colour BEFORE booking a test campaign.</t>
  </si>
  <si>
    <t xml:space="preserve">WPC / ETA</t>
  </si>
  <si>
    <t xml:space="preserve">Equipment Type Approval for every radio flown</t>
  </si>
  <si>
    <t xml:space="preserve">Saral Sanchar portal. ADVANTAGE OF INDIAN SUPPLIERS: FxUAV and Indian RF houses design to Indian spectrum rules and can supply ETA documentation; imported radios routinely cannot.</t>
  </si>
  <si>
    <t xml:space="preserve">WPC, DoT</t>
  </si>
  <si>
    <t xml:space="preserve">Sizing §12: the BANDS are delicensed (5.825-5.875 GHz for drones, 865-867 MHz for SRDs) but the EQUIPMENT still needs approval.</t>
  </si>
  <si>
    <t xml:space="preserve">Insurance</t>
  </si>
  <si>
    <t xml:space="preserve">Third-party liability for flight operations</t>
  </si>
  <si>
    <t xml:space="preserve">Indian insurers offer drone liability products.</t>
  </si>
  <si>
    <t xml:space="preserve">Indian insurer</t>
  </si>
  <si>
    <t xml:space="preserve">Many test sites and institutions require it before granting access.</t>
  </si>
  <si>
    <t xml:space="preserve">07 — MASS ROLLUP AND RULE C2 CHECK</t>
  </si>
  <si>
    <t xml:space="preserve">Rule C2: combined all-up weight of ALL deployed drones, including batteries, payloads and every accessory, must not exceed 25 kg.</t>
  </si>
  <si>
    <t xml:space="preserve">Group</t>
  </si>
  <si>
    <t xml:space="preserve">Previous BOM (g)</t>
  </si>
  <si>
    <t xml:space="preserve">Verified BOM (g)</t>
  </si>
  <si>
    <t xml:space="preserve">Actual measured (g)</t>
  </si>
  <si>
    <t xml:space="preserve">Delta</t>
  </si>
  <si>
    <t xml:space="preserve">Note</t>
  </si>
  <si>
    <t xml:space="preserve">Propulsion (RD motors, ESCs, props, hubs)</t>
  </si>
  <si>
    <t xml:space="preserve">Reflex Drive parts are LIGHTER: 135 g motor, 28 g ESC, 40 g prop vs 150/48/116 assumed</t>
  </si>
  <si>
    <t xml:space="preserve">Avionics (Agam set, GNSS x2, antennas, RX, VEGA)</t>
  </si>
  <si>
    <t xml:space="preserve">Agam Full Set is a single 110 g item incl. carrier and power module</t>
  </si>
  <si>
    <t xml:space="preserve">Compute &amp; perception</t>
  </si>
  <si>
    <t xml:space="preserve">Imported SoM + e-con camera + mount + cooling</t>
  </si>
  <si>
    <t xml:space="preserve">Power (6S3P pack + distribution)</t>
  </si>
  <si>
    <t xml:space="preserve">Power module now carried inside the Agam set</t>
  </si>
  <si>
    <t xml:space="preserve">Structure</t>
  </si>
  <si>
    <t xml:space="preserve">Unchanged approach; 17 in props shrink the frame slightly</t>
  </si>
  <si>
    <t xml:space="preserve">Communications</t>
  </si>
  <si>
    <t xml:space="preserve">FxUAV mesh node + sub-GHz + antennas</t>
  </si>
  <si>
    <t xml:space="preserve">Payload mechanism</t>
  </si>
  <si>
    <t xml:space="preserve">Magazine, servos, detents, switches, harness</t>
  </si>
  <si>
    <t xml:space="preserve">Survivor kits (4 x 200 g)</t>
  </si>
  <si>
    <t xml:space="preserve">Rule C6 fixes this exactly</t>
  </si>
  <si>
    <t xml:space="preserve">MTOW per aircraft (g)</t>
  </si>
  <si>
    <t xml:space="preserve">Bottom-up line-item total, tab 01 (g)</t>
  </si>
  <si>
    <t xml:space="preserve">Aircraft in fleet</t>
  </si>
  <si>
    <t xml:space="preserve">FLEET ALL-UP WEIGHT (g)</t>
  </si>
  <si>
    <t xml:space="preserve">Rule C2 limit (g)</t>
  </si>
  <si>
    <t xml:space="preserve">Margin to rule limit (g)</t>
  </si>
  <si>
    <t xml:space="preserve">Margin to rule limit (%)</t>
  </si>
  <si>
    <t xml:space="preserve">PERFORMANCE AT THIS DESIGN POINT</t>
  </si>
  <si>
    <t xml:space="preserve">RD 1760, 17 x 6.0 in</t>
  </si>
  <si>
    <t xml:space="preserve">Verified part</t>
  </si>
  <si>
    <t xml:space="preserve">Disk loading (kg/m2)</t>
  </si>
  <si>
    <t xml:space="preserve">4 x pi x (0.216 m)^2 = 0.586 m2</t>
  </si>
  <si>
    <t xml:space="preserve">Hover electrical power (W)</t>
  </si>
  <si>
    <t xml:space="preserve">Momentum theory, FM 0.60, rho 1.150</t>
  </si>
  <si>
    <t xml:space="preserve">Hover power from RD bench data (W)</t>
  </si>
  <si>
    <t xml:space="preserve">Interpolated from Reflex Drive published table — model is 12% conservative</t>
  </si>
  <si>
    <t xml:space="preserve">Pack usable energy (Wh, 80% DoD)</t>
  </si>
  <si>
    <t xml:space="preserve">292 Wh x 0.80</t>
  </si>
  <si>
    <t xml:space="preserve">Hover endurance, model (min)</t>
  </si>
  <si>
    <t xml:space="preserve">234 Wh / 790 W</t>
  </si>
  <si>
    <t xml:space="preserve">Hover endurance, bench-data basis (min)</t>
  </si>
  <si>
    <t xml:space="preserve">234 Wh / 705 W</t>
  </si>
  <si>
    <t xml:space="preserve">Design mission (min)</t>
  </si>
  <si>
    <t xml:space="preserve">Sizing §9.1 segment budget</t>
  </si>
  <si>
    <t xml:space="preserve">Endurance ratio</t>
  </si>
  <si>
    <t xml:space="preserve">Target &gt;= 2.0 per the reserve policy</t>
  </si>
  <si>
    <t xml:space="preserve">Hover thrust per motor (g)</t>
  </si>
  <si>
    <t xml:space="preserve">33% of the 4200 g rating — over-rated, paid for by the mass margin</t>
  </si>
  <si>
    <t xml:space="preserve">Max thrust-to-weight</t>
  </si>
  <si>
    <t xml:space="preserve">4 x 4.2 kgf / 5.52 kg</t>
  </si>
  <si>
    <t xml:space="preserve">Hover current per motor (A)</t>
  </si>
  <si>
    <t xml:space="preserve">vs 35 A continuous rating — very relaxed</t>
  </si>
  <si>
    <t xml:space="preserve">Peak pack current at T/W 2 (A)</t>
  </si>
  <si>
    <t xml:space="preserve">vs 135 A pack capability = 37% margin</t>
  </si>
  <si>
    <t xml:space="preserve">GSD at 60 m AGL (cm/px)</t>
  </si>
  <si>
    <t xml:space="preserve">13 MP sensor, ~63 deg HFOV</t>
  </si>
  <si>
    <t xml:space="preserve">Person length at 60 m (px)</t>
  </si>
  <si>
    <t xml:space="preserve">1.7 m / GSD</t>
  </si>
  <si>
    <t xml:space="preserve">WHY THE DESIGN POINT MOVED FROM 18 IN TO 17 IN</t>
  </si>
  <si>
    <t xml:space="preserve">The 18 in baseline came from an imported reference motor. Reflex Drive publish bench data for the RD 5008 on their own 17 x 6.0 in propeller, and the RD MI-5008 is rated for 15-18 in props.</t>
  </si>
  <si>
    <t xml:space="preserve">Matching the design point to a set of parts that are actually stocked, priced and bench-tested in India is worth more than 1 in of propeller.</t>
  </si>
  <si>
    <t xml:space="preserve">Consequence: disk loading rises from 8.7 to 9.4 kg/m2 and hover power from 784 to 790 W — a rounding error. The lighter Reflex Drive parts give most of it back.</t>
  </si>
  <si>
    <t xml:space="preserve">The momentum-theory model predicted 790 W; interpolating the manufacturer bench table gives 705 W. The model is 12% conservative, which is the correct direction for a preliminary design.</t>
  </si>
  <si>
    <t xml:space="preserve">08 — PROGRAMME COST SUMMARY</t>
  </si>
  <si>
    <t xml:space="preserve">VERIFIED lines carry real listed Indian prices. RFQ lines remain estimates — send quotation requests in Phase 0 week 1.</t>
  </si>
  <si>
    <t xml:space="preserve">Category</t>
  </si>
  <si>
    <t xml:space="preserve">Sets</t>
  </si>
  <si>
    <t xml:space="preserve">Unit Cost (INR)</t>
  </si>
  <si>
    <t xml:space="preserve">Extended (INR)</t>
  </si>
  <si>
    <t xml:space="preserve">Indian Value (INR)</t>
  </si>
  <si>
    <t xml:space="preserve">Air vehicle, per aircraft</t>
  </si>
  <si>
    <t xml:space="preserve">Flight hardware.</t>
  </si>
  <si>
    <t xml:space="preserve">Payload, kits and ground-truth targets</t>
  </si>
  <si>
    <t xml:space="preserve">~100% Indian.</t>
  </si>
  <si>
    <t xml:space="preserve">Ground segment and infrastructure</t>
  </si>
  <si>
    <t xml:space="preserve">Computing is the weak spot.</t>
  </si>
  <si>
    <t xml:space="preserve">Test, lab and calibration equipment</t>
  </si>
  <si>
    <t xml:space="preserve">In-house thrust stand saves ~INR 1 L.</t>
  </si>
  <si>
    <t xml:space="preserve">Spares and consumables</t>
  </si>
  <si>
    <t xml:space="preserve">Includes the optional 4th aircraft.</t>
  </si>
  <si>
    <t xml:space="preserve">Software, data and compliance</t>
  </si>
  <si>
    <t xml:space="preserve">Mostly the field data campaign.</t>
  </si>
  <si>
    <t xml:space="preserve">SUBTOTAL</t>
  </si>
  <si>
    <t xml:space="preserve">of which Indian value</t>
  </si>
  <si>
    <t xml:space="preserve">Duty + freight on the imported residual</t>
  </si>
  <si>
    <t xml:space="preserve">22% blended, applied only to the imported portion. This is the main cost advantage of an Indian BOM.</t>
  </si>
  <si>
    <t xml:space="preserve">GST</t>
  </si>
  <si>
    <t xml:space="preserve">18% assumed. Note that VERIFIED prices such as the Agam set already include GST — refine before budgeting.</t>
  </si>
  <si>
    <t xml:space="preserve">Contingency</t>
  </si>
  <si>
    <t xml:space="preserve">20%. Hardware programmes consume it.</t>
  </si>
  <si>
    <t xml:space="preserve">TOTAL PROGRAMME COST</t>
  </si>
  <si>
    <t xml:space="preserve">ORDER THESE FIRST (long lead or on the critical path)</t>
  </si>
  <si>
    <t xml:space="preserve">1. AI compute module — 4-8 weeks and the longest lead item on the aircraft.</t>
  </si>
  <si>
    <t xml:space="preserve">2. Li-ion cells / pack assembly — 4-6 weeks, and the cell-grade question needs resolving with GODI before you can even order.</t>
  </si>
  <si>
    <t xml:space="preserve">3. Agam Autopilot V6X-RT — 3-4 weeks, MOQ 1, listed price, no negotiation needed. Order three plus one spare on day one.</t>
  </si>
  <si>
    <t xml:space="preserve">4. Reflex Drive propulsion — 2-3 weeks, in stock at multiple Indian resellers. Order a single motor + ESC + prop set FIRST for the thrust stand, before committing to twelve.</t>
  </si>
  <si>
    <t xml:space="preserve">5. e-con camera — needs a technical conversation about variant selection and ISP tuning before an order can be placed. Start that conversation in week 1.</t>
  </si>
  <si>
    <t xml:space="preserve">09 — INDIGENISATION SCORECARD</t>
  </si>
  <si>
    <t xml:space="preserve">Computed from the line items. Quote these numbers, not a slogan.</t>
  </si>
  <si>
    <t xml:space="preserve">Total value</t>
  </si>
  <si>
    <t xml:space="preserve">Indian value</t>
  </si>
  <si>
    <t xml:space="preserve">Indian %</t>
  </si>
  <si>
    <t xml:space="preserve">Comment</t>
  </si>
  <si>
    <t xml:space="preserve">Air vehicle (x3)</t>
  </si>
  <si>
    <t xml:space="preserve">Propulsion and flight controller are strongly Indian; the AI compute module drags the score down.</t>
  </si>
  <si>
    <t xml:space="preserve">Payload and kits</t>
  </si>
  <si>
    <t xml:space="preserve">Local fabrication throughout.</t>
  </si>
  <si>
    <t xml:space="preserve">Ground segment</t>
  </si>
  <si>
    <t xml:space="preserve">Laptops are the weak point; power, masts, safety and GNSS are strong.</t>
  </si>
  <si>
    <t xml:space="preserve">Test and lab</t>
  </si>
  <si>
    <t xml:space="preserve">Indian balances, instruments, tools and 3D printers are genuinely good.</t>
  </si>
  <si>
    <t xml:space="preserve">Mirrors the air vehicle.</t>
  </si>
  <si>
    <t xml:space="preserve">Software, data, compliance</t>
  </si>
  <si>
    <t xml:space="preserve">The Indian field dataset is the standout indigenous asset.</t>
  </si>
  <si>
    <t xml:space="preserve">PROGRAMME TOTAL</t>
  </si>
  <si>
    <t xml:space="preserve">STATUS OF VERIFICATION (count of lines)</t>
  </si>
  <si>
    <t xml:space="preserve">Lines</t>
  </si>
  <si>
    <t xml:space="preserve">Share</t>
  </si>
  <si>
    <t xml:space="preserve">Meaning</t>
  </si>
  <si>
    <t xml:space="preserve">Model number, specification and price confirmed from the manufacturer or an authorised Indian reseller</t>
  </si>
  <si>
    <t xml:space="preserve">Part and specification confirmed; price is quotation-driven</t>
  </si>
  <si>
    <t xml:space="preserve">Supplier confirmed; exact part still to be selected with them</t>
  </si>
  <si>
    <t xml:space="preserve">Fabricated or bought locally — no catalogue part exists</t>
  </si>
  <si>
    <t xml:space="preserve">TOTAL LINES</t>
  </si>
  <si>
    <t xml:space="preserve">WHAT STILL HAS NO INDIAN OPTION</t>
  </si>
  <si>
    <t xml:space="preserve">1. AI INFERENCE SILICON. No Indian GPU or NPU at the ~20 TOPS class. Mitigation: Indian carrier, Indian enclosure and thermal design, Indian camera, Indian dataset, Indian-trained model. Only the die is foreign.</t>
  </si>
  <si>
    <t xml:space="preserve">2. HIGH-DRAIN 21700 CELLS. GODI India makes BIS-certified 21700 NMC in India, but a 40-45 A continuous drone-grade variant must be confirmed. Indian pack assembly is mature either way.</t>
  </si>
  <si>
    <t xml:space="preserve">3. RF CHIPSETS. 802.11 and LoRa transceivers have no Indian source. FxUAV builds indigenous datalinks around them, and — importantly — can supply the ETA documentation that imported radios usually cannot.</t>
  </si>
  <si>
    <t xml:space="preserve">4. HIGH-CURRENT CONNECTORS. XT90-S and JST-GH have no Indian equivalent. Small value, unavoidable.</t>
  </si>
  <si>
    <t xml:space="preserve">EVERYTHING ELSE NOW HAS A NAMED, LINKED, SPECIFIED INDIAN PART: motors, ESCs, propellers, flight controller with carrier and power module, GNSS with NavIC, camera modules, PDB, BMS, wire, structure, fasteners, antennas, packs, instruments, tools, printers, safety equipment, and the entire software stack.</t>
  </si>
</sst>
</file>

<file path=xl/styles.xml><?xml version="1.0" encoding="utf-8"?>
<styleSheet xmlns="http://schemas.openxmlformats.org/spreadsheetml/2006/main">
  <numFmts count="6">
    <numFmt numFmtId="164" formatCode="General"/>
    <numFmt numFmtId="165" formatCode="0%"/>
    <numFmt numFmtId="166" formatCode="#,##0.0"/>
    <numFmt numFmtId="167" formatCode="#,##0"/>
    <numFmt numFmtId="168" formatCode="0.0%"/>
    <numFmt numFmtId="169" formatCode="#,##0;\(#,##0\);\-"/>
  </numFmts>
  <fonts count="11">
    <font>
      <sz val="11"/>
      <color theme="1"/>
      <name val="Calibri"/>
      <family val="2"/>
      <charset val="1"/>
    </font>
    <font>
      <sz val="10"/>
      <name val="Arial"/>
      <family val="0"/>
    </font>
    <font>
      <sz val="10"/>
      <name val="Arial"/>
      <family val="0"/>
    </font>
    <font>
      <sz val="10"/>
      <name val="Arial"/>
      <family val="0"/>
    </font>
    <font>
      <b val="true"/>
      <sz val="14"/>
      <name val="Arial"/>
      <family val="0"/>
      <charset val="1"/>
    </font>
    <font>
      <i val="true"/>
      <sz val="9"/>
      <color rgb="FF555555"/>
      <name val="Arial"/>
      <family val="0"/>
      <charset val="1"/>
    </font>
    <font>
      <b val="true"/>
      <sz val="10"/>
      <name val="Arial"/>
      <family val="0"/>
      <charset val="1"/>
    </font>
    <font>
      <sz val="9"/>
      <name val="Arial"/>
      <family val="0"/>
      <charset val="1"/>
    </font>
    <font>
      <b val="true"/>
      <sz val="9"/>
      <color rgb="FFFFFFFF"/>
      <name val="Arial"/>
      <family val="0"/>
      <charset val="1"/>
    </font>
    <font>
      <u val="single"/>
      <sz val="9"/>
      <color rgb="FF0563C1"/>
      <name val="Arial"/>
      <family val="0"/>
      <charset val="1"/>
    </font>
    <font>
      <sz val="10"/>
      <color rgb="FF0000FF"/>
      <name val="Arial"/>
      <family val="0"/>
      <charset val="1"/>
    </font>
  </fonts>
  <fills count="8">
    <fill>
      <patternFill patternType="none"/>
    </fill>
    <fill>
      <patternFill patternType="gray125"/>
    </fill>
    <fill>
      <patternFill patternType="solid">
        <fgColor rgb="FF0F5132"/>
        <bgColor rgb="FF003366"/>
      </patternFill>
    </fill>
    <fill>
      <patternFill patternType="solid">
        <fgColor rgb="FFD1E7DD"/>
        <bgColor rgb="FFE2EFDA"/>
      </patternFill>
    </fill>
    <fill>
      <patternFill patternType="solid">
        <fgColor rgb="FFE2EFDA"/>
        <bgColor rgb="FFD1E7DD"/>
      </patternFill>
    </fill>
    <fill>
      <patternFill patternType="solid">
        <fgColor rgb="FFFFE8CC"/>
        <bgColor rgb="FFFFD6D6"/>
      </patternFill>
    </fill>
    <fill>
      <patternFill patternType="solid">
        <fgColor rgb="FFFFD6D6"/>
        <bgColor rgb="FFFFE8CC"/>
      </patternFill>
    </fill>
    <fill>
      <patternFill patternType="solid">
        <fgColor rgb="FFFFFF00"/>
        <bgColor rgb="FFFFFF00"/>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7">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2" borderId="0" xfId="0" applyFont="true" applyBorder="false" applyAlignment="true" applyProtection="false">
      <alignment horizontal="center" vertical="center" textRotation="0" wrapText="true" indent="0" shrinkToFit="false"/>
      <protection locked="true" hidden="false"/>
    </xf>
    <xf numFmtId="164" fontId="6" fillId="3" borderId="0" xfId="0" applyFont="true" applyBorder="false" applyAlignment="false" applyProtection="false">
      <alignment horizontal="general" vertical="bottom" textRotation="0" wrapText="false" indent="0" shrinkToFit="false"/>
      <protection locked="true" hidden="false"/>
    </xf>
    <xf numFmtId="164" fontId="0" fillId="3"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top" textRotation="0" wrapText="fals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bottom" textRotation="0" wrapText="false" indent="0" shrinkToFit="false"/>
      <protection locked="true" hidden="false"/>
    </xf>
    <xf numFmtId="164" fontId="7" fillId="4" borderId="1" xfId="0" applyFont="true" applyBorder="true" applyAlignment="true" applyProtection="false">
      <alignment horizontal="center" vertical="bottom" textRotation="0" wrapText="true" indent="0" shrinkToFit="false"/>
      <protection locked="true" hidden="false"/>
    </xf>
    <xf numFmtId="164" fontId="7" fillId="4" borderId="1" xfId="0" applyFont="true" applyBorder="true" applyAlignment="true" applyProtection="false">
      <alignment horizontal="center" vertical="bottom" textRotation="0" wrapText="false" indent="0" shrinkToFit="false"/>
      <protection locked="true" hidden="false"/>
    </xf>
    <xf numFmtId="165" fontId="7" fillId="0" borderId="1" xfId="0" applyFont="true" applyBorder="true" applyAlignment="true" applyProtection="false">
      <alignment horizontal="general" vertical="top" textRotation="0" wrapText="false" indent="0" shrinkToFit="false"/>
      <protection locked="true" hidden="false"/>
    </xf>
    <xf numFmtId="166" fontId="7" fillId="0" borderId="1" xfId="0" applyFont="true" applyBorder="true" applyAlignment="true" applyProtection="false">
      <alignment horizontal="general" vertical="top" textRotation="0" wrapText="false" indent="0" shrinkToFit="false"/>
      <protection locked="true" hidden="false"/>
    </xf>
    <xf numFmtId="167" fontId="7" fillId="0" borderId="1" xfId="0" applyFont="true" applyBorder="true" applyAlignment="true" applyProtection="false">
      <alignment horizontal="general" vertical="top" textRotation="0" wrapText="false" indent="0" shrinkToFit="false"/>
      <protection locked="true" hidden="false"/>
    </xf>
    <xf numFmtId="164" fontId="7" fillId="5" borderId="1" xfId="0" applyFont="true" applyBorder="true" applyAlignment="true" applyProtection="false">
      <alignment horizontal="center" vertical="bottom" textRotation="0" wrapText="true" indent="0" shrinkToFit="false"/>
      <protection locked="true" hidden="false"/>
    </xf>
    <xf numFmtId="164" fontId="7" fillId="6" borderId="1" xfId="0" applyFont="true" applyBorder="true" applyAlignment="true" applyProtection="false">
      <alignment horizontal="center" vertical="bottom" textRotation="0" wrapText="true" indent="0" shrinkToFit="false"/>
      <protection locked="true" hidden="false"/>
    </xf>
    <xf numFmtId="164" fontId="7" fillId="0" borderId="1" xfId="0" applyFont="true" applyBorder="true" applyAlignment="true" applyProtection="false">
      <alignment horizontal="center" vertical="bottom" textRotation="0" wrapText="false" indent="0" shrinkToFit="false"/>
      <protection locked="true" hidden="false"/>
    </xf>
    <xf numFmtId="164" fontId="7" fillId="5" borderId="1" xfId="0" applyFont="true" applyBorder="true" applyAlignment="true" applyProtection="false">
      <alignment horizontal="center" vertical="bottom" textRotation="0" wrapText="false" indent="0" shrinkToFit="false"/>
      <protection locked="true" hidden="false"/>
    </xf>
    <xf numFmtId="164" fontId="7" fillId="6"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8" fontId="6" fillId="7" borderId="0" xfId="0" applyFont="true" applyBorder="false" applyAlignment="false" applyProtection="false">
      <alignment horizontal="general" vertical="bottom" textRotation="0" wrapText="false" indent="0" shrinkToFit="false"/>
      <protection locked="true" hidden="false"/>
    </xf>
    <xf numFmtId="166" fontId="6" fillId="4" borderId="0" xfId="0" applyFont="true" applyBorder="false" applyAlignment="false" applyProtection="false">
      <alignment horizontal="general" vertical="bottom" textRotation="0" wrapText="false" indent="0" shrinkToFit="false"/>
      <protection locked="true" hidden="false"/>
    </xf>
    <xf numFmtId="167" fontId="6" fillId="4" borderId="0" xfId="0" applyFont="tru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10" fillId="7"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true" applyProtection="false">
      <alignment horizontal="general" vertical="bottom"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8" fontId="6" fillId="4"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bottom" textRotation="0" wrapText="tru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true" applyAlignment="false" applyProtection="false">
      <alignment horizontal="general" vertical="bottom" textRotation="0" wrapText="false" indent="0" shrinkToFit="false"/>
      <protection locked="true" hidden="false"/>
    </xf>
    <xf numFmtId="164" fontId="10" fillId="0" borderId="1" xfId="0" applyFont="true" applyBorder="true" applyAlignment="false" applyProtection="false">
      <alignment horizontal="general" vertical="bottom" textRotation="0" wrapText="false" indent="0" shrinkToFit="false"/>
      <protection locked="true" hidden="false"/>
    </xf>
    <xf numFmtId="167" fontId="6" fillId="0" borderId="0" xfId="0" applyFont="true" applyBorder="false" applyAlignment="false" applyProtection="false">
      <alignment horizontal="general" vertical="bottom" textRotation="0" wrapText="false" indent="0" shrinkToFit="false"/>
      <protection locked="true" hidden="false"/>
    </xf>
    <xf numFmtId="167" fontId="6" fillId="7" borderId="0" xfId="0" applyFont="true" applyBorder="fals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4" fontId="6" fillId="5" borderId="1" xfId="0" applyFont="true" applyBorder="true" applyAlignment="false" applyProtection="false">
      <alignment horizontal="general" vertical="bottom" textRotation="0" wrapText="false" indent="0" shrinkToFit="false"/>
      <protection locked="true" hidden="false"/>
    </xf>
    <xf numFmtId="164" fontId="6" fillId="6"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true" applyAlignment="true" applyProtection="false">
      <alignment horizontal="general" vertical="bottom" textRotation="0" wrapText="true" indent="0" shrinkToFit="false"/>
      <protection locked="true" hidden="false"/>
    </xf>
    <xf numFmtId="164" fontId="5" fillId="0" borderId="0" xfId="0" applyFont="true" applyBorder="tru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E8CC"/>
      <rgbColor rgb="FFD1E7DD"/>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D6D6"/>
      <rgbColor rgb="FF3366FF"/>
      <rgbColor rgb="FF33CCCC"/>
      <rgbColor rgb="FF99CC00"/>
      <rgbColor rgb="FFFFCC00"/>
      <rgbColor rgb="FFFF9900"/>
      <rgbColor rgb="FFFF6600"/>
      <rgbColor rgb="FF555555"/>
      <rgbColor rgb="FF969696"/>
      <rgbColor rgb="FF003366"/>
      <rgbColor rgb="FF339966"/>
      <rgbColor rgb="FF0F5132"/>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hyperlink" Target="https://reflexdrive.in/product/rd-mi-5008-motor/" TargetMode="External"/><Relationship Id="rId2" Type="http://schemas.openxmlformats.org/officeDocument/2006/relationships/hyperlink" Target="https://reflexdrive.in/product/rd-a-series-foc-esc-60a/" TargetMode="External"/><Relationship Id="rId3" Type="http://schemas.openxmlformats.org/officeDocument/2006/relationships/hyperlink" Target="https://uavgarage.com/product-brand/reflex-drive/" TargetMode="External"/><Relationship Id="rId4" Type="http://schemas.openxmlformats.org/officeDocument/2006/relationships/hyperlink" Target="https://reflexdrive.in/" TargetMode="External"/><Relationship Id="rId5" Type="http://schemas.openxmlformats.org/officeDocument/2006/relationships/hyperlink" Target="https://www.agamrobotics.com/product-page/agam-pixhawk-6x-full-set" TargetMode="External"/><Relationship Id="rId6" Type="http://schemas.openxmlformats.org/officeDocument/2006/relationships/hyperlink" Target="https://vegaprocessors.in/" TargetMode="External"/><Relationship Id="rId7" Type="http://schemas.openxmlformats.org/officeDocument/2006/relationships/hyperlink" Target="https://teravoltlabs.com/" TargetMode="External"/><Relationship Id="rId8" Type="http://schemas.openxmlformats.org/officeDocument/2006/relationships/hyperlink" Target="https://www.accord-soft.com/" TargetMode="External"/><Relationship Id="rId9" Type="http://schemas.openxmlformats.org/officeDocument/2006/relationships/hyperlink" Target="https://zerodrag.in/" TargetMode="External"/><Relationship Id="rId10" Type="http://schemas.openxmlformats.org/officeDocument/2006/relationships/hyperlink" Target="https://godiindia.com/" TargetMode="External"/><Relationship Id="rId11" Type="http://schemas.openxmlformats.org/officeDocument/2006/relationships/hyperlink" Target="https://www.flamebacktech.com/" TargetMode="External"/><Relationship Id="rId12" Type="http://schemas.openxmlformats.org/officeDocument/2006/relationships/hyperlink" Target="https://www.flamebacktech.com/" TargetMode="External"/><Relationship Id="rId13" Type="http://schemas.openxmlformats.org/officeDocument/2006/relationships/hyperlink" Target="https://www.agamrobotics.com/product-page/agam-pixhawk-6x-full-set" TargetMode="External"/><Relationship Id="rId14" Type="http://schemas.openxmlformats.org/officeDocument/2006/relationships/hyperlink" Target="https://www.flamebacktech.com/" TargetMode="External"/><Relationship Id="rId15" Type="http://schemas.openxmlformats.org/officeDocument/2006/relationships/hyperlink" Target="https://polycab.com/" TargetMode="External"/><Relationship Id="rId16" Type="http://schemas.openxmlformats.org/officeDocument/2006/relationships/hyperlink" Target="https://robu.in/" TargetMode="External"/><Relationship Id="rId17" Type="http://schemas.openxmlformats.org/officeDocument/2006/relationships/hyperlink" Target="https://www.agamrobotics.com/drone-components" TargetMode="External"/><Relationship Id="rId18" Type="http://schemas.openxmlformats.org/officeDocument/2006/relationships/hyperlink" Target="https://www.e-consystems.com/" TargetMode="External"/><Relationship Id="rId19" Type="http://schemas.openxmlformats.org/officeDocument/2006/relationships/hyperlink" Target="https://www.e-consystems.com/cameramodule.asp" TargetMode="External"/><Relationship Id="rId20" Type="http://schemas.openxmlformats.org/officeDocument/2006/relationships/hyperlink" Target="https://www.e-consystems.com/cameramodule.asp" TargetMode="External"/><Relationship Id="rId21" Type="http://schemas.openxmlformats.org/officeDocument/2006/relationships/hyperlink" Target="https://robu.in/" TargetMode="External"/><Relationship Id="rId22" Type="http://schemas.openxmlformats.org/officeDocument/2006/relationships/hyperlink" Target="https://www.kineco.in/" TargetMode="External"/><Relationship Id="rId23" Type="http://schemas.openxmlformats.org/officeDocument/2006/relationships/hyperlink" Target="https://www.fracktal.in/" TargetMode="External"/><Relationship Id="rId24" Type="http://schemas.openxmlformats.org/officeDocument/2006/relationships/hyperlink" Target="https://www.sundram.com/" TargetMode="External"/><Relationship Id="rId25" Type="http://schemas.openxmlformats.org/officeDocument/2006/relationships/hyperlink" Target="https://fxuav.in/" TargetMode="External"/><Relationship Id="rId26" Type="http://schemas.openxmlformats.org/officeDocument/2006/relationships/hyperlink" Target="https://fxuav.in/" TargetMode="External"/><Relationship Id="rId27" Type="http://schemas.openxmlformats.org/officeDocument/2006/relationships/hyperlink" Target="https://zerodrag.in/" TargetMode="External"/><Relationship Id="rId28" Type="http://schemas.openxmlformats.org/officeDocument/2006/relationships/hyperlink" Target="https://robu.in/" TargetMode="External"/>
</Relationships>
</file>

<file path=xl/worksheets/_rels/sheet4.xml.rels><?xml version="1.0" encoding="UTF-8"?>
<Relationships xmlns="http://schemas.openxmlformats.org/package/2006/relationships"><Relationship Id="rId1" Type="http://schemas.openxmlformats.org/officeDocument/2006/relationships/hyperlink" Target="https://fxuav.in/" TargetMode="External"/><Relationship Id="rId2" Type="http://schemas.openxmlformats.org/officeDocument/2006/relationships/hyperlink" Target="https://www.accord-soft.com/" TargetMode="External"/><Relationship Id="rId3" Type="http://schemas.openxmlformats.org/officeDocument/2006/relationships/hyperlink" Target="https://fxuav.in/" TargetMode="External"/><Relationship Id="rId4" Type="http://schemas.openxmlformats.org/officeDocument/2006/relationships/hyperlink" Target="https://www.okaya.com/" TargetMode="External"/><Relationship Id="rId5" Type="http://schemas.openxmlformats.org/officeDocument/2006/relationships/hyperlink" Target="https://www.waaree.com/" TargetMode="External"/><Relationship Id="rId6" Type="http://schemas.openxmlformats.org/officeDocument/2006/relationships/hyperlink" Target="https://zerodrag.in/" TargetMode="External"/>
</Relationships>
</file>

<file path=xl/worksheets/_rels/sheet5.xml.rels><?xml version="1.0" encoding="UTF-8"?>
<Relationships xmlns="http://schemas.openxmlformats.org/package/2006/relationships"><Relationship Id="rId1" Type="http://schemas.openxmlformats.org/officeDocument/2006/relationships/hyperlink" Target="https://www.sensocon.com/" TargetMode="External"/><Relationship Id="rId2" Type="http://schemas.openxmlformats.org/officeDocument/2006/relationships/hyperlink" Target="https://www.mecoinst.com/" TargetMode="External"/><Relationship Id="rId3" Type="http://schemas.openxmlformats.org/officeDocument/2006/relationships/hyperlink" Target="https://bharathcomponents.com/" TargetMode="External"/><Relationship Id="rId4" Type="http://schemas.openxmlformats.org/officeDocument/2006/relationships/hyperlink" Target="https://www.aplab.com/" TargetMode="External"/><Relationship Id="rId5" Type="http://schemas.openxmlformats.org/officeDocument/2006/relationships/hyperlink" Target="https://www.aczet.com/" TargetMode="External"/><Relationship Id="rId6" Type="http://schemas.openxmlformats.org/officeDocument/2006/relationships/hyperlink" Target="https://www.contechindia.com/" TargetMode="External"/><Relationship Id="rId7" Type="http://schemas.openxmlformats.org/officeDocument/2006/relationships/hyperlink" Target="https://www.bakergauges.com/" TargetMode="External"/><Relationship Id="rId8" Type="http://schemas.openxmlformats.org/officeDocument/2006/relationships/hyperlink" Target="https://www.groztools.com/" TargetMode="External"/><Relationship Id="rId9" Type="http://schemas.openxmlformats.org/officeDocument/2006/relationships/hyperlink" Target="https://robu.in/" TargetMode="External"/><Relationship Id="rId10" Type="http://schemas.openxmlformats.org/officeDocument/2006/relationships/hyperlink" Target="https://www.aplab.com/" TargetMode="External"/><Relationship Id="rId11" Type="http://schemas.openxmlformats.org/officeDocument/2006/relationships/hyperlink" Target="https://www.mecoinst.com/" TargetMode="External"/><Relationship Id="rId12" Type="http://schemas.openxmlformats.org/officeDocument/2006/relationships/hyperlink" Target="https://www.fracktal.in/" TargetMode="External"/><Relationship Id="rId13" Type="http://schemas.openxmlformats.org/officeDocument/2006/relationships/hyperlink" Target="https://www.taparia.in/" TargetMode="External"/><Relationship Id="rId14" Type="http://schemas.openxmlformats.org/officeDocument/2006/relationships/hyperlink" Target="https://www.e2enetworks.com/" TargetMode="External"/>
</Relationships>
</file>

<file path=xl/worksheets/_rels/sheet6.xml.rels><?xml version="1.0" encoding="UTF-8"?>
<Relationships xmlns="http://schemas.openxmlformats.org/package/2006/relationships"><Relationship Id="rId1" Type="http://schemas.openxmlformats.org/officeDocument/2006/relationships/hyperlink" Target="https://reflexdrive.in/product/rd-mi-5008-motor/" TargetMode="External"/><Relationship Id="rId2" Type="http://schemas.openxmlformats.org/officeDocument/2006/relationships/hyperlink" Target="https://reflexdrive.in/product/rd-a-series-foc-esc-60a/" TargetMode="External"/><Relationship Id="rId3" Type="http://schemas.openxmlformats.org/officeDocument/2006/relationships/hyperlink" Target="https://uavgarage.com/product-brand/reflex-drive/" TargetMode="External"/><Relationship Id="rId4" Type="http://schemas.openxmlformats.org/officeDocument/2006/relationships/hyperlink" Target="https://www.agamrobotics.com/product-page/agam-pixhawk-6x-full-set" TargetMode="External"/><Relationship Id="rId5" Type="http://schemas.openxmlformats.org/officeDocument/2006/relationships/hyperlink" Target="https://www.accord-soft.com/" TargetMode="External"/><Relationship Id="rId6" Type="http://schemas.openxmlformats.org/officeDocument/2006/relationships/hyperlink" Target="https://www.e-consystems.com/cameramodule.asp" TargetMode="External"/><Relationship Id="rId7" Type="http://schemas.openxmlformats.org/officeDocument/2006/relationships/hyperlink" Target="https://www.pidilite.com/" TargetMode="External"/><Relationship Id="rId8" Type="http://schemas.openxmlformats.org/officeDocument/2006/relationships/hyperlink" Target="https://wol3d.in/" TargetMode="External"/><Relationship Id="rId9" Type="http://schemas.openxmlformats.org/officeDocument/2006/relationships/hyperlink" Target="https://www.kineco.in/" TargetMode="External"/>
</Relationships>
</file>

<file path=xl/worksheets/_rels/sheet7.xml.rels><?xml version="1.0" encoding="UTF-8"?>
<Relationships xmlns="http://schemas.openxmlformats.org/package/2006/relationships"><Relationship Id="rId1" Type="http://schemas.openxmlformats.org/officeDocument/2006/relationships/hyperlink" Target="https://px4.io/" TargetMode="External"/><Relationship Id="rId2" Type="http://schemas.openxmlformats.org/officeDocument/2006/relationships/hyperlink" Target="https://docs.ros.org/" TargetMode="External"/><Relationship Id="rId3" Type="http://schemas.openxmlformats.org/officeDocument/2006/relationships/hyperlink" Target="https://github.com/mavlink-router/mavlink-router" TargetMode="External"/><Relationship Id="rId4" Type="http://schemas.openxmlformats.org/officeDocument/2006/relationships/hyperlink" Target="https://www.open-mesh.org/projects/batman-adv" TargetMode="External"/><Relationship Id="rId5" Type="http://schemas.openxmlformats.org/officeDocument/2006/relationships/hyperlink" Target="https://github.com/athakapo/DARP" TargetMode="External"/><Relationship Id="rId6" Type="http://schemas.openxmlformats.org/officeDocument/2006/relationships/hyperlink" Target="https://github.com/obss/sahi" TargetMode="External"/><Relationship Id="rId7" Type="http://schemas.openxmlformats.org/officeDocument/2006/relationships/hyperlink" Target="https://github.com/open-mmlab/mmdetection" TargetMode="External"/><Relationship Id="rId8" Type="http://schemas.openxmlformats.org/officeDocument/2006/relationships/hyperlink" Target="https://vegaprocessors.in/" TargetMode="External"/><Relationship Id="rId9" Type="http://schemas.openxmlformats.org/officeDocument/2006/relationships/hyperlink" Target="https://www.sciencedirect.com/" TargetMode="External"/><Relationship Id="rId10" Type="http://schemas.openxmlformats.org/officeDocument/2006/relationships/hyperlink" Target="https://www.cvat.ai/" TargetMode="External"/><Relationship Id="rId11" Type="http://schemas.openxmlformats.org/officeDocument/2006/relationships/hyperlink" Target="https://bhuvan.nrsc.gov.in/" TargetMode="External"/><Relationship Id="rId12" Type="http://schemas.openxmlformats.org/officeDocument/2006/relationships/hyperlink" Target="https://digitalsky.dgca.gov.in/" TargetMode="External"/><Relationship Id="rId13" Type="http://schemas.openxmlformats.org/officeDocument/2006/relationships/hyperlink" Target="https://saralsanchar.gov.in/" TargetMode="Externa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B2:C1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
    <col collapsed="false" customWidth="true" hidden="false" outlineLevel="0" max="2" min="2" style="0" width="22"/>
    <col collapsed="false" customWidth="true" hidden="false" outlineLevel="0" max="3" min="3" style="0" width="104"/>
  </cols>
  <sheetData>
    <row r="2" customFormat="false" ht="17.35" hidden="false" customHeight="false" outlineLevel="0" collapsed="false">
      <c r="B2" s="1" t="s">
        <v>0</v>
      </c>
    </row>
    <row r="3" customFormat="false" ht="15" hidden="false" customHeight="false" outlineLevel="0" collapsed="false">
      <c r="B3" s="2" t="s">
        <v>1</v>
      </c>
    </row>
    <row r="5" customFormat="false" ht="36" hidden="false" customHeight="true" outlineLevel="0" collapsed="false">
      <c r="B5" s="3" t="s">
        <v>2</v>
      </c>
      <c r="C5" s="4" t="s">
        <v>3</v>
      </c>
    </row>
    <row r="6" customFormat="false" ht="48" hidden="false" customHeight="true" outlineLevel="0" collapsed="false">
      <c r="B6" s="3" t="s">
        <v>4</v>
      </c>
      <c r="C6" s="4" t="s">
        <v>5</v>
      </c>
    </row>
    <row r="7" customFormat="false" ht="48" hidden="false" customHeight="true" outlineLevel="0" collapsed="false">
      <c r="B7" s="3" t="s">
        <v>6</v>
      </c>
      <c r="C7" s="4" t="s">
        <v>7</v>
      </c>
    </row>
    <row r="8" customFormat="false" ht="48" hidden="false" customHeight="true" outlineLevel="0" collapsed="false">
      <c r="B8" s="3" t="s">
        <v>8</v>
      </c>
      <c r="C8" s="4" t="s">
        <v>9</v>
      </c>
    </row>
    <row r="9" customFormat="false" ht="60" hidden="false" customHeight="true" outlineLevel="0" collapsed="false">
      <c r="B9" s="3" t="s">
        <v>10</v>
      </c>
      <c r="C9" s="4" t="s">
        <v>11</v>
      </c>
    </row>
    <row r="10" customFormat="false" ht="36" hidden="false" customHeight="true" outlineLevel="0" collapsed="false">
      <c r="B10" s="3" t="s">
        <v>12</v>
      </c>
      <c r="C10" s="4" t="s">
        <v>13</v>
      </c>
    </row>
    <row r="11" customFormat="false" ht="36" hidden="false" customHeight="true" outlineLevel="0" collapsed="false">
      <c r="B11" s="3" t="s">
        <v>14</v>
      </c>
      <c r="C11" s="4" t="s">
        <v>15</v>
      </c>
    </row>
    <row r="12" customFormat="false" ht="36" hidden="false" customHeight="true" outlineLevel="0" collapsed="false">
      <c r="B12" s="3" t="s">
        <v>16</v>
      </c>
      <c r="C12" s="4" t="s">
        <v>17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5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18</v>
      </c>
    </row>
    <row r="2" customFormat="false" ht="15" hidden="false" customHeight="false" outlineLevel="0" collapsed="false">
      <c r="A2" s="2" t="s">
        <v>19</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37</v>
      </c>
      <c r="B4" s="7"/>
      <c r="C4" s="7"/>
      <c r="D4" s="7"/>
      <c r="E4" s="7"/>
      <c r="F4" s="7"/>
      <c r="G4" s="7"/>
      <c r="H4" s="7"/>
      <c r="I4" s="7"/>
      <c r="J4" s="7"/>
      <c r="K4" s="7"/>
      <c r="L4" s="7"/>
      <c r="M4" s="7"/>
      <c r="N4" s="7"/>
      <c r="O4" s="7"/>
      <c r="P4" s="7"/>
      <c r="Q4" s="7"/>
    </row>
    <row r="5" customFormat="false" ht="43.25" hidden="false" customHeight="false" outlineLevel="0" collapsed="false">
      <c r="A5" s="8" t="n">
        <v>1</v>
      </c>
      <c r="B5" s="9" t="s">
        <v>38</v>
      </c>
      <c r="C5" s="9" t="s">
        <v>39</v>
      </c>
      <c r="D5" s="9" t="s">
        <v>40</v>
      </c>
      <c r="E5" s="9" t="s">
        <v>41</v>
      </c>
      <c r="F5" s="10" t="s">
        <v>42</v>
      </c>
      <c r="G5" s="11" t="s">
        <v>43</v>
      </c>
      <c r="H5" s="12" t="s">
        <v>44</v>
      </c>
      <c r="I5" s="13" t="n">
        <v>0.9</v>
      </c>
      <c r="J5" s="8" t="n">
        <v>4</v>
      </c>
      <c r="K5" s="14" t="n">
        <v>135</v>
      </c>
      <c r="L5" s="14" t="n">
        <f aca="false">J5*K5</f>
        <v>540</v>
      </c>
      <c r="M5" s="15" t="n">
        <v>9099</v>
      </c>
      <c r="N5" s="15" t="n">
        <f aca="false">J5*M5</f>
        <v>36396</v>
      </c>
      <c r="O5" s="15" t="n">
        <f aca="false">N5*I5</f>
        <v>32756.4</v>
      </c>
      <c r="P5" s="8" t="s">
        <v>45</v>
      </c>
      <c r="Q5" s="9" t="s">
        <v>46</v>
      </c>
    </row>
    <row r="6" customFormat="false" ht="32.8" hidden="false" customHeight="false" outlineLevel="0" collapsed="false">
      <c r="A6" s="8" t="n">
        <v>2</v>
      </c>
      <c r="B6" s="9" t="s">
        <v>47</v>
      </c>
      <c r="C6" s="9" t="s">
        <v>48</v>
      </c>
      <c r="D6" s="9" t="s">
        <v>49</v>
      </c>
      <c r="E6" s="9" t="s">
        <v>50</v>
      </c>
      <c r="F6" s="10" t="s">
        <v>42</v>
      </c>
      <c r="G6" s="11" t="s">
        <v>43</v>
      </c>
      <c r="H6" s="12" t="s">
        <v>44</v>
      </c>
      <c r="I6" s="13" t="n">
        <v>0.85</v>
      </c>
      <c r="J6" s="8" t="n">
        <v>4</v>
      </c>
      <c r="K6" s="14" t="n">
        <v>28</v>
      </c>
      <c r="L6" s="14" t="n">
        <f aca="false">J6*K6</f>
        <v>112</v>
      </c>
      <c r="M6" s="15" t="n">
        <v>3400</v>
      </c>
      <c r="N6" s="15" t="n">
        <f aca="false">J6*M6</f>
        <v>13600</v>
      </c>
      <c r="O6" s="15" t="n">
        <f aca="false">N6*I6</f>
        <v>11560</v>
      </c>
      <c r="P6" s="8" t="s">
        <v>45</v>
      </c>
      <c r="Q6" s="9" t="s">
        <v>51</v>
      </c>
    </row>
    <row r="7" customFormat="false" ht="32.8" hidden="false" customHeight="false" outlineLevel="0" collapsed="false">
      <c r="A7" s="8" t="n">
        <v>3</v>
      </c>
      <c r="B7" s="9" t="s">
        <v>52</v>
      </c>
      <c r="C7" s="9" t="s">
        <v>53</v>
      </c>
      <c r="D7" s="9" t="s">
        <v>54</v>
      </c>
      <c r="E7" s="9" t="s">
        <v>50</v>
      </c>
      <c r="F7" s="10" t="s">
        <v>42</v>
      </c>
      <c r="G7" s="11" t="s">
        <v>43</v>
      </c>
      <c r="H7" s="12" t="s">
        <v>44</v>
      </c>
      <c r="I7" s="13" t="n">
        <v>0.85</v>
      </c>
      <c r="J7" s="8" t="n">
        <v>4</v>
      </c>
      <c r="K7" s="14" t="n">
        <v>40</v>
      </c>
      <c r="L7" s="14" t="n">
        <f aca="false">J7*K7</f>
        <v>160</v>
      </c>
      <c r="M7" s="15" t="n">
        <v>1400</v>
      </c>
      <c r="N7" s="15" t="n">
        <f aca="false">J7*M7</f>
        <v>5600</v>
      </c>
      <c r="O7" s="15" t="n">
        <f aca="false">N7*I7</f>
        <v>4760</v>
      </c>
      <c r="P7" s="8" t="s">
        <v>45</v>
      </c>
      <c r="Q7" s="9" t="s">
        <v>55</v>
      </c>
    </row>
    <row r="8" customFormat="false" ht="22.35" hidden="false" customHeight="false" outlineLevel="0" collapsed="false">
      <c r="A8" s="8" t="n">
        <v>4</v>
      </c>
      <c r="B8" s="9" t="s">
        <v>56</v>
      </c>
      <c r="C8" s="9" t="s">
        <v>57</v>
      </c>
      <c r="D8" s="9" t="s">
        <v>58</v>
      </c>
      <c r="E8" s="9" t="s">
        <v>59</v>
      </c>
      <c r="F8" s="10" t="s">
        <v>42</v>
      </c>
      <c r="G8" s="16" t="s">
        <v>60</v>
      </c>
      <c r="H8" s="12" t="s">
        <v>44</v>
      </c>
      <c r="I8" s="13" t="n">
        <v>1</v>
      </c>
      <c r="J8" s="8" t="n">
        <v>4</v>
      </c>
      <c r="K8" s="14" t="n">
        <v>14</v>
      </c>
      <c r="L8" s="14" t="n">
        <f aca="false">J8*K8</f>
        <v>56</v>
      </c>
      <c r="M8" s="15" t="n">
        <v>450</v>
      </c>
      <c r="N8" s="15" t="n">
        <f aca="false">J8*M8</f>
        <v>1800</v>
      </c>
      <c r="O8" s="15" t="n">
        <f aca="false">N8*I8</f>
        <v>1800</v>
      </c>
      <c r="P8" s="8" t="s">
        <v>45</v>
      </c>
      <c r="Q8" s="9" t="s">
        <v>61</v>
      </c>
    </row>
    <row r="9" customFormat="false" ht="15" hidden="false" customHeight="false" outlineLevel="0" collapsed="false">
      <c r="A9" s="6" t="s">
        <v>62</v>
      </c>
      <c r="B9" s="7"/>
      <c r="C9" s="7"/>
      <c r="D9" s="7"/>
      <c r="E9" s="7"/>
      <c r="F9" s="7"/>
      <c r="G9" s="7"/>
      <c r="H9" s="7"/>
      <c r="I9" s="7"/>
      <c r="J9" s="7"/>
      <c r="K9" s="7"/>
      <c r="L9" s="7"/>
      <c r="M9" s="7"/>
      <c r="N9" s="7"/>
      <c r="O9" s="7"/>
      <c r="P9" s="7"/>
      <c r="Q9" s="7"/>
    </row>
    <row r="10" customFormat="false" ht="95.5" hidden="false" customHeight="false" outlineLevel="0" collapsed="false">
      <c r="A10" s="8" t="n">
        <v>5</v>
      </c>
      <c r="B10" s="9" t="s">
        <v>63</v>
      </c>
      <c r="C10" s="9" t="s">
        <v>64</v>
      </c>
      <c r="D10" s="9" t="s">
        <v>65</v>
      </c>
      <c r="E10" s="9" t="s">
        <v>66</v>
      </c>
      <c r="F10" s="10" t="s">
        <v>42</v>
      </c>
      <c r="G10" s="11" t="s">
        <v>43</v>
      </c>
      <c r="H10" s="12" t="s">
        <v>67</v>
      </c>
      <c r="I10" s="13" t="n">
        <v>0.6</v>
      </c>
      <c r="J10" s="8" t="n">
        <v>1</v>
      </c>
      <c r="K10" s="14" t="n">
        <v>110</v>
      </c>
      <c r="L10" s="14" t="n">
        <f aca="false">J10*K10</f>
        <v>110</v>
      </c>
      <c r="M10" s="15" t="n">
        <v>42000</v>
      </c>
      <c r="N10" s="15" t="n">
        <f aca="false">J10*M10</f>
        <v>42000</v>
      </c>
      <c r="O10" s="15" t="n">
        <f aca="false">N10*I10</f>
        <v>25200</v>
      </c>
      <c r="P10" s="8" t="s">
        <v>68</v>
      </c>
      <c r="Q10" s="9" t="s">
        <v>69</v>
      </c>
    </row>
    <row r="11" customFormat="false" ht="43.25" hidden="false" customHeight="false" outlineLevel="0" collapsed="false">
      <c r="A11" s="8" t="n">
        <v>6</v>
      </c>
      <c r="B11" s="9" t="s">
        <v>70</v>
      </c>
      <c r="C11" s="9" t="s">
        <v>71</v>
      </c>
      <c r="D11" s="9" t="s">
        <v>72</v>
      </c>
      <c r="E11" s="9" t="s">
        <v>73</v>
      </c>
      <c r="F11" s="10" t="s">
        <v>42</v>
      </c>
      <c r="G11" s="16" t="s">
        <v>60</v>
      </c>
      <c r="H11" s="12" t="s">
        <v>44</v>
      </c>
      <c r="I11" s="13" t="n">
        <v>1</v>
      </c>
      <c r="J11" s="8" t="n">
        <v>1</v>
      </c>
      <c r="K11" s="14" t="n">
        <v>60</v>
      </c>
      <c r="L11" s="14" t="n">
        <f aca="false">J11*K11</f>
        <v>60</v>
      </c>
      <c r="M11" s="15" t="n">
        <v>0</v>
      </c>
      <c r="N11" s="15" t="n">
        <f aca="false">J11*M11</f>
        <v>0</v>
      </c>
      <c r="O11" s="15" t="n">
        <f aca="false">N11*I11</f>
        <v>0</v>
      </c>
      <c r="P11" s="8" t="s">
        <v>74</v>
      </c>
      <c r="Q11" s="9" t="s">
        <v>75</v>
      </c>
    </row>
    <row r="12" customFormat="false" ht="32.8" hidden="false" customHeight="false" outlineLevel="0" collapsed="false">
      <c r="A12" s="8" t="n">
        <v>7</v>
      </c>
      <c r="B12" s="9" t="s">
        <v>76</v>
      </c>
      <c r="C12" s="9" t="s">
        <v>77</v>
      </c>
      <c r="D12" s="9" t="s">
        <v>78</v>
      </c>
      <c r="E12" s="9" t="s">
        <v>79</v>
      </c>
      <c r="F12" s="10" t="s">
        <v>42</v>
      </c>
      <c r="G12" s="17" t="s">
        <v>80</v>
      </c>
      <c r="H12" s="12" t="s">
        <v>67</v>
      </c>
      <c r="I12" s="13" t="n">
        <v>0.6</v>
      </c>
      <c r="J12" s="8" t="n">
        <v>1</v>
      </c>
      <c r="K12" s="14" t="n">
        <v>55</v>
      </c>
      <c r="L12" s="14" t="n">
        <f aca="false">J12*K12</f>
        <v>55</v>
      </c>
      <c r="M12" s="15" t="n">
        <v>18000</v>
      </c>
      <c r="N12" s="15" t="n">
        <f aca="false">J12*M12</f>
        <v>18000</v>
      </c>
      <c r="O12" s="15" t="n">
        <f aca="false">N12*I12</f>
        <v>10800</v>
      </c>
      <c r="P12" s="8" t="s">
        <v>81</v>
      </c>
      <c r="Q12" s="9" t="s">
        <v>82</v>
      </c>
    </row>
    <row r="13" customFormat="false" ht="32.8" hidden="false" customHeight="false" outlineLevel="0" collapsed="false">
      <c r="A13" s="8" t="n">
        <v>8</v>
      </c>
      <c r="B13" s="9" t="s">
        <v>83</v>
      </c>
      <c r="C13" s="9" t="s">
        <v>84</v>
      </c>
      <c r="D13" s="9" t="s">
        <v>85</v>
      </c>
      <c r="E13" s="9" t="s">
        <v>86</v>
      </c>
      <c r="F13" s="10" t="s">
        <v>42</v>
      </c>
      <c r="G13" s="17" t="s">
        <v>80</v>
      </c>
      <c r="H13" s="12" t="s">
        <v>67</v>
      </c>
      <c r="I13" s="13" t="n">
        <v>0.6</v>
      </c>
      <c r="J13" s="8" t="n">
        <v>1</v>
      </c>
      <c r="K13" s="14" t="n">
        <v>50</v>
      </c>
      <c r="L13" s="14" t="n">
        <f aca="false">J13*K13</f>
        <v>50</v>
      </c>
      <c r="M13" s="15" t="n">
        <v>17000</v>
      </c>
      <c r="N13" s="15" t="n">
        <f aca="false">J13*M13</f>
        <v>17000</v>
      </c>
      <c r="O13" s="15" t="n">
        <f aca="false">N13*I13</f>
        <v>10200</v>
      </c>
      <c r="P13" s="8" t="s">
        <v>68</v>
      </c>
      <c r="Q13" s="9" t="s">
        <v>87</v>
      </c>
    </row>
    <row r="14" customFormat="false" ht="22.35" hidden="false" customHeight="false" outlineLevel="0" collapsed="false">
      <c r="A14" s="8" t="n">
        <v>9</v>
      </c>
      <c r="B14" s="9" t="s">
        <v>88</v>
      </c>
      <c r="C14" s="9" t="s">
        <v>89</v>
      </c>
      <c r="D14" s="9" t="s">
        <v>90</v>
      </c>
      <c r="E14" s="9" t="s">
        <v>91</v>
      </c>
      <c r="F14" s="18" t="s">
        <v>92</v>
      </c>
      <c r="G14" s="17" t="s">
        <v>80</v>
      </c>
      <c r="H14" s="12" t="s">
        <v>67</v>
      </c>
      <c r="I14" s="13" t="n">
        <v>0.6</v>
      </c>
      <c r="J14" s="8" t="n">
        <v>2</v>
      </c>
      <c r="K14" s="14" t="n">
        <v>35</v>
      </c>
      <c r="L14" s="14" t="n">
        <f aca="false">J14*K14</f>
        <v>70</v>
      </c>
      <c r="M14" s="15" t="n">
        <v>3200</v>
      </c>
      <c r="N14" s="15" t="n">
        <f aca="false">J14*M14</f>
        <v>6400</v>
      </c>
      <c r="O14" s="15" t="n">
        <f aca="false">N14*I14</f>
        <v>3840</v>
      </c>
      <c r="P14" s="8" t="s">
        <v>68</v>
      </c>
      <c r="Q14" s="9" t="s">
        <v>93</v>
      </c>
    </row>
    <row r="15" customFormat="false" ht="32.8" hidden="false" customHeight="false" outlineLevel="0" collapsed="false">
      <c r="A15" s="8" t="n">
        <v>10</v>
      </c>
      <c r="B15" s="9" t="s">
        <v>94</v>
      </c>
      <c r="C15" s="9" t="s">
        <v>95</v>
      </c>
      <c r="D15" s="9" t="s">
        <v>96</v>
      </c>
      <c r="E15" s="9" t="s">
        <v>97</v>
      </c>
      <c r="F15" s="10" t="s">
        <v>42</v>
      </c>
      <c r="G15" s="16" t="s">
        <v>60</v>
      </c>
      <c r="H15" s="19" t="s">
        <v>98</v>
      </c>
      <c r="I15" s="13" t="n">
        <v>0.5</v>
      </c>
      <c r="J15" s="8" t="n">
        <v>1</v>
      </c>
      <c r="K15" s="14" t="n">
        <v>12</v>
      </c>
      <c r="L15" s="14" t="n">
        <f aca="false">J15*K15</f>
        <v>12</v>
      </c>
      <c r="M15" s="15" t="n">
        <v>2000</v>
      </c>
      <c r="N15" s="15" t="n">
        <f aca="false">J15*M15</f>
        <v>2000</v>
      </c>
      <c r="O15" s="15" t="n">
        <f aca="false">N15*I15</f>
        <v>1000</v>
      </c>
      <c r="P15" s="8" t="s">
        <v>99</v>
      </c>
      <c r="Q15" s="9" t="s">
        <v>100</v>
      </c>
    </row>
    <row r="16" customFormat="false" ht="15" hidden="false" customHeight="false" outlineLevel="0" collapsed="false">
      <c r="A16" s="6" t="s">
        <v>101</v>
      </c>
      <c r="B16" s="7"/>
      <c r="C16" s="7"/>
      <c r="D16" s="7"/>
      <c r="E16" s="7"/>
      <c r="F16" s="7"/>
      <c r="G16" s="7"/>
      <c r="H16" s="7"/>
      <c r="I16" s="7"/>
      <c r="J16" s="7"/>
      <c r="K16" s="7"/>
      <c r="L16" s="7"/>
      <c r="M16" s="7"/>
      <c r="N16" s="7"/>
      <c r="O16" s="7"/>
      <c r="P16" s="7"/>
      <c r="Q16" s="7"/>
    </row>
    <row r="17" customFormat="false" ht="43.25" hidden="false" customHeight="false" outlineLevel="0" collapsed="false">
      <c r="A17" s="8" t="n">
        <v>11</v>
      </c>
      <c r="B17" s="9" t="s">
        <v>102</v>
      </c>
      <c r="C17" s="9" t="s">
        <v>103</v>
      </c>
      <c r="D17" s="9" t="s">
        <v>104</v>
      </c>
      <c r="E17" s="9" t="s">
        <v>105</v>
      </c>
      <c r="F17" s="10" t="s">
        <v>42</v>
      </c>
      <c r="G17" s="17" t="s">
        <v>80</v>
      </c>
      <c r="H17" s="19" t="s">
        <v>98</v>
      </c>
      <c r="I17" s="13" t="n">
        <v>0.4</v>
      </c>
      <c r="J17" s="8" t="n">
        <v>18</v>
      </c>
      <c r="K17" s="14" t="n">
        <v>70</v>
      </c>
      <c r="L17" s="14" t="n">
        <f aca="false">J17*K17</f>
        <v>1260</v>
      </c>
      <c r="M17" s="15" t="n">
        <v>700</v>
      </c>
      <c r="N17" s="15" t="n">
        <f aca="false">J17*M17</f>
        <v>12600</v>
      </c>
      <c r="O17" s="15" t="n">
        <f aca="false">N17*I17</f>
        <v>5040</v>
      </c>
      <c r="P17" s="8" t="s">
        <v>106</v>
      </c>
      <c r="Q17" s="9" t="s">
        <v>107</v>
      </c>
    </row>
    <row r="18" customFormat="false" ht="32.8" hidden="false" customHeight="false" outlineLevel="0" collapsed="false">
      <c r="A18" s="8" t="n">
        <v>12</v>
      </c>
      <c r="B18" s="9" t="s">
        <v>108</v>
      </c>
      <c r="C18" s="9" t="s">
        <v>109</v>
      </c>
      <c r="D18" s="9" t="s">
        <v>110</v>
      </c>
      <c r="E18" s="9" t="s">
        <v>111</v>
      </c>
      <c r="F18" s="18" t="s">
        <v>92</v>
      </c>
      <c r="G18" s="17" t="s">
        <v>80</v>
      </c>
      <c r="H18" s="12" t="s">
        <v>44</v>
      </c>
      <c r="I18" s="13" t="n">
        <v>0.9</v>
      </c>
      <c r="J18" s="8" t="n">
        <v>1</v>
      </c>
      <c r="K18" s="14" t="n">
        <v>260</v>
      </c>
      <c r="L18" s="14" t="n">
        <f aca="false">J18*K18</f>
        <v>260</v>
      </c>
      <c r="M18" s="15" t="n">
        <v>3500</v>
      </c>
      <c r="N18" s="15" t="n">
        <f aca="false">J18*M18</f>
        <v>3500</v>
      </c>
      <c r="O18" s="15" t="n">
        <f aca="false">N18*I18</f>
        <v>3150</v>
      </c>
      <c r="P18" s="8" t="s">
        <v>45</v>
      </c>
      <c r="Q18" s="9" t="s">
        <v>112</v>
      </c>
    </row>
    <row r="19" customFormat="false" ht="22.35" hidden="false" customHeight="false" outlineLevel="0" collapsed="false">
      <c r="A19" s="8" t="n">
        <v>13</v>
      </c>
      <c r="B19" s="9" t="s">
        <v>113</v>
      </c>
      <c r="C19" s="9" t="s">
        <v>114</v>
      </c>
      <c r="D19" s="9" t="s">
        <v>115</v>
      </c>
      <c r="E19" s="9" t="s">
        <v>116</v>
      </c>
      <c r="F19" s="10" t="s">
        <v>42</v>
      </c>
      <c r="G19" s="16" t="s">
        <v>60</v>
      </c>
      <c r="H19" s="12" t="s">
        <v>44</v>
      </c>
      <c r="I19" s="13" t="n">
        <v>0.8</v>
      </c>
      <c r="J19" s="8" t="n">
        <v>1</v>
      </c>
      <c r="K19" s="14" t="n">
        <v>45</v>
      </c>
      <c r="L19" s="14" t="n">
        <f aca="false">J19*K19</f>
        <v>45</v>
      </c>
      <c r="M19" s="15" t="n">
        <v>1600</v>
      </c>
      <c r="N19" s="15" t="n">
        <f aca="false">J19*M19</f>
        <v>1600</v>
      </c>
      <c r="O19" s="15" t="n">
        <f aca="false">N19*I19</f>
        <v>1280</v>
      </c>
      <c r="P19" s="8" t="s">
        <v>117</v>
      </c>
      <c r="Q19" s="9" t="s">
        <v>118</v>
      </c>
    </row>
    <row r="20" customFormat="false" ht="22.35" hidden="false" customHeight="false" outlineLevel="0" collapsed="false">
      <c r="A20" s="8" t="n">
        <v>14</v>
      </c>
      <c r="B20" s="9" t="s">
        <v>119</v>
      </c>
      <c r="C20" s="9" t="s">
        <v>120</v>
      </c>
      <c r="D20" s="9" t="s">
        <v>121</v>
      </c>
      <c r="E20" s="9" t="s">
        <v>116</v>
      </c>
      <c r="F20" s="10" t="s">
        <v>42</v>
      </c>
      <c r="G20" s="16" t="s">
        <v>60</v>
      </c>
      <c r="H20" s="12" t="s">
        <v>44</v>
      </c>
      <c r="I20" s="13" t="n">
        <v>0.8</v>
      </c>
      <c r="J20" s="8" t="n">
        <v>1</v>
      </c>
      <c r="K20" s="14" t="n">
        <v>55</v>
      </c>
      <c r="L20" s="14" t="n">
        <f aca="false">J20*K20</f>
        <v>55</v>
      </c>
      <c r="M20" s="15" t="n">
        <v>1800</v>
      </c>
      <c r="N20" s="15" t="n">
        <f aca="false">J20*M20</f>
        <v>1800</v>
      </c>
      <c r="O20" s="15" t="n">
        <f aca="false">N20*I20</f>
        <v>1440</v>
      </c>
      <c r="P20" s="8" t="s">
        <v>117</v>
      </c>
      <c r="Q20" s="9" t="s">
        <v>122</v>
      </c>
    </row>
    <row r="21" customFormat="false" ht="32.8" hidden="false" customHeight="false" outlineLevel="0" collapsed="false">
      <c r="A21" s="8" t="n">
        <v>15</v>
      </c>
      <c r="B21" s="9" t="s">
        <v>123</v>
      </c>
      <c r="C21" s="9" t="s">
        <v>124</v>
      </c>
      <c r="D21" s="9" t="s">
        <v>125</v>
      </c>
      <c r="E21" s="9" t="s">
        <v>126</v>
      </c>
      <c r="F21" s="10" t="s">
        <v>42</v>
      </c>
      <c r="G21" s="11" t="s">
        <v>43</v>
      </c>
      <c r="H21" s="12" t="s">
        <v>67</v>
      </c>
      <c r="I21" s="13" t="n">
        <v>0.6</v>
      </c>
      <c r="J21" s="8" t="n">
        <v>1</v>
      </c>
      <c r="K21" s="14" t="n">
        <v>45</v>
      </c>
      <c r="L21" s="14" t="n">
        <f aca="false">J21*K21</f>
        <v>45</v>
      </c>
      <c r="M21" s="15" t="n">
        <v>0</v>
      </c>
      <c r="N21" s="15" t="n">
        <f aca="false">J21*M21</f>
        <v>0</v>
      </c>
      <c r="O21" s="15" t="n">
        <f aca="false">N21*I21</f>
        <v>0</v>
      </c>
      <c r="P21" s="8" t="s">
        <v>127</v>
      </c>
      <c r="Q21" s="9" t="s">
        <v>128</v>
      </c>
    </row>
    <row r="22" customFormat="false" ht="32.8" hidden="false" customHeight="false" outlineLevel="0" collapsed="false">
      <c r="A22" s="8" t="n">
        <v>16</v>
      </c>
      <c r="B22" s="9" t="s">
        <v>129</v>
      </c>
      <c r="C22" s="9" t="s">
        <v>130</v>
      </c>
      <c r="D22" s="9" t="s">
        <v>131</v>
      </c>
      <c r="E22" s="9" t="s">
        <v>132</v>
      </c>
      <c r="F22" s="10" t="s">
        <v>42</v>
      </c>
      <c r="G22" s="17" t="s">
        <v>80</v>
      </c>
      <c r="H22" s="12" t="s">
        <v>44</v>
      </c>
      <c r="I22" s="13" t="n">
        <v>0.8</v>
      </c>
      <c r="J22" s="8" t="n">
        <v>2</v>
      </c>
      <c r="K22" s="14" t="n">
        <v>31</v>
      </c>
      <c r="L22" s="14" t="n">
        <f aca="false">J22*K22</f>
        <v>62</v>
      </c>
      <c r="M22" s="15" t="n">
        <v>1000</v>
      </c>
      <c r="N22" s="15" t="n">
        <f aca="false">J22*M22</f>
        <v>2000</v>
      </c>
      <c r="O22" s="15" t="n">
        <f aca="false">N22*I22</f>
        <v>1600</v>
      </c>
      <c r="P22" s="8" t="s">
        <v>99</v>
      </c>
      <c r="Q22" s="9" t="s">
        <v>133</v>
      </c>
    </row>
    <row r="23" customFormat="false" ht="22.35" hidden="false" customHeight="false" outlineLevel="0" collapsed="false">
      <c r="A23" s="8" t="n">
        <v>17</v>
      </c>
      <c r="B23" s="9" t="s">
        <v>134</v>
      </c>
      <c r="C23" s="9" t="s">
        <v>135</v>
      </c>
      <c r="D23" s="9" t="s">
        <v>136</v>
      </c>
      <c r="E23" s="9" t="s">
        <v>137</v>
      </c>
      <c r="F23" s="10" t="s">
        <v>42</v>
      </c>
      <c r="G23" s="16" t="s">
        <v>138</v>
      </c>
      <c r="H23" s="12" t="s">
        <v>44</v>
      </c>
      <c r="I23" s="13" t="n">
        <v>1</v>
      </c>
      <c r="J23" s="8" t="n">
        <v>1</v>
      </c>
      <c r="K23" s="14" t="n">
        <v>205</v>
      </c>
      <c r="L23" s="14" t="n">
        <f aca="false">J23*K23</f>
        <v>205</v>
      </c>
      <c r="M23" s="15" t="n">
        <v>1200</v>
      </c>
      <c r="N23" s="15" t="n">
        <f aca="false">J23*M23</f>
        <v>1200</v>
      </c>
      <c r="O23" s="15" t="n">
        <f aca="false">N23*I23</f>
        <v>1200</v>
      </c>
      <c r="P23" s="8" t="s">
        <v>139</v>
      </c>
      <c r="Q23" s="9" t="s">
        <v>140</v>
      </c>
    </row>
    <row r="24" customFormat="false" ht="22.35" hidden="false" customHeight="false" outlineLevel="0" collapsed="false">
      <c r="A24" s="8" t="n">
        <v>18</v>
      </c>
      <c r="B24" s="9" t="s">
        <v>141</v>
      </c>
      <c r="C24" s="9" t="s">
        <v>142</v>
      </c>
      <c r="D24" s="9" t="s">
        <v>143</v>
      </c>
      <c r="E24" s="9" t="s">
        <v>144</v>
      </c>
      <c r="F24" s="10" t="s">
        <v>42</v>
      </c>
      <c r="G24" s="16" t="s">
        <v>60</v>
      </c>
      <c r="H24" s="20" t="s">
        <v>145</v>
      </c>
      <c r="I24" s="13" t="n">
        <v>0.1</v>
      </c>
      <c r="J24" s="8" t="n">
        <v>1</v>
      </c>
      <c r="K24" s="14" t="n">
        <v>45</v>
      </c>
      <c r="L24" s="14" t="n">
        <f aca="false">J24*K24</f>
        <v>45</v>
      </c>
      <c r="M24" s="15" t="n">
        <v>900</v>
      </c>
      <c r="N24" s="15" t="n">
        <f aca="false">J24*M24</f>
        <v>900</v>
      </c>
      <c r="O24" s="15" t="n">
        <f aca="false">N24*I24</f>
        <v>90</v>
      </c>
      <c r="P24" s="8" t="s">
        <v>139</v>
      </c>
      <c r="Q24" s="9" t="s">
        <v>146</v>
      </c>
    </row>
    <row r="25" customFormat="false" ht="22.35" hidden="false" customHeight="false" outlineLevel="0" collapsed="false">
      <c r="A25" s="8" t="n">
        <v>19</v>
      </c>
      <c r="B25" s="9" t="s">
        <v>147</v>
      </c>
      <c r="C25" s="9" t="s">
        <v>148</v>
      </c>
      <c r="D25" s="9" t="s">
        <v>149</v>
      </c>
      <c r="E25" s="9" t="s">
        <v>150</v>
      </c>
      <c r="F25" s="10" t="s">
        <v>42</v>
      </c>
      <c r="G25" s="17" t="s">
        <v>80</v>
      </c>
      <c r="H25" s="19" t="s">
        <v>98</v>
      </c>
      <c r="I25" s="13" t="n">
        <v>0.5</v>
      </c>
      <c r="J25" s="8" t="n">
        <v>1</v>
      </c>
      <c r="K25" s="14" t="n">
        <v>30</v>
      </c>
      <c r="L25" s="14" t="n">
        <f aca="false">J25*K25</f>
        <v>30</v>
      </c>
      <c r="M25" s="15" t="n">
        <v>900</v>
      </c>
      <c r="N25" s="15" t="n">
        <f aca="false">J25*M25</f>
        <v>900</v>
      </c>
      <c r="O25" s="15" t="n">
        <f aca="false">N25*I25</f>
        <v>450</v>
      </c>
      <c r="P25" s="8" t="s">
        <v>99</v>
      </c>
      <c r="Q25" s="9" t="s">
        <v>151</v>
      </c>
    </row>
    <row r="26" customFormat="false" ht="15" hidden="false" customHeight="false" outlineLevel="0" collapsed="false">
      <c r="A26" s="6" t="s">
        <v>152</v>
      </c>
      <c r="B26" s="7"/>
      <c r="C26" s="7"/>
      <c r="D26" s="7"/>
      <c r="E26" s="7"/>
      <c r="F26" s="7"/>
      <c r="G26" s="7"/>
      <c r="H26" s="7"/>
      <c r="I26" s="7"/>
      <c r="J26" s="7"/>
      <c r="K26" s="7"/>
      <c r="L26" s="7"/>
      <c r="M26" s="7"/>
      <c r="N26" s="7"/>
      <c r="O26" s="7"/>
      <c r="P26" s="7"/>
      <c r="Q26" s="7"/>
    </row>
    <row r="27" customFormat="false" ht="43.25" hidden="false" customHeight="false" outlineLevel="0" collapsed="false">
      <c r="A27" s="8" t="n">
        <v>20</v>
      </c>
      <c r="B27" s="9" t="s">
        <v>153</v>
      </c>
      <c r="C27" s="9" t="s">
        <v>154</v>
      </c>
      <c r="D27" s="9" t="s">
        <v>155</v>
      </c>
      <c r="E27" s="9" t="s">
        <v>156</v>
      </c>
      <c r="F27" s="10" t="s">
        <v>42</v>
      </c>
      <c r="G27" s="17" t="s">
        <v>80</v>
      </c>
      <c r="H27" s="20" t="s">
        <v>145</v>
      </c>
      <c r="I27" s="13" t="n">
        <v>0.25</v>
      </c>
      <c r="J27" s="8" t="n">
        <v>1</v>
      </c>
      <c r="K27" s="14" t="n">
        <v>200</v>
      </c>
      <c r="L27" s="14" t="n">
        <f aca="false">J27*K27</f>
        <v>200</v>
      </c>
      <c r="M27" s="15" t="n">
        <v>55000</v>
      </c>
      <c r="N27" s="15" t="n">
        <f aca="false">J27*M27</f>
        <v>55000</v>
      </c>
      <c r="O27" s="15" t="n">
        <f aca="false">N27*I27</f>
        <v>13750</v>
      </c>
      <c r="P27" s="8" t="s">
        <v>157</v>
      </c>
      <c r="Q27" s="9" t="s">
        <v>158</v>
      </c>
    </row>
    <row r="28" customFormat="false" ht="64.15" hidden="false" customHeight="false" outlineLevel="0" collapsed="false">
      <c r="A28" s="8" t="n">
        <v>21</v>
      </c>
      <c r="B28" s="9" t="s">
        <v>159</v>
      </c>
      <c r="C28" s="9" t="s">
        <v>160</v>
      </c>
      <c r="D28" s="9" t="s">
        <v>161</v>
      </c>
      <c r="E28" s="9" t="s">
        <v>162</v>
      </c>
      <c r="F28" s="10" t="s">
        <v>42</v>
      </c>
      <c r="G28" s="16" t="s">
        <v>60</v>
      </c>
      <c r="H28" s="12" t="s">
        <v>67</v>
      </c>
      <c r="I28" s="13" t="n">
        <v>0.6</v>
      </c>
      <c r="J28" s="8" t="n">
        <v>1</v>
      </c>
      <c r="K28" s="14" t="n">
        <v>80</v>
      </c>
      <c r="L28" s="14" t="n">
        <f aca="false">J28*K28</f>
        <v>80</v>
      </c>
      <c r="M28" s="15" t="n">
        <v>14000</v>
      </c>
      <c r="N28" s="15" t="n">
        <f aca="false">J28*M28</f>
        <v>14000</v>
      </c>
      <c r="O28" s="15" t="n">
        <f aca="false">N28*I28</f>
        <v>8400</v>
      </c>
      <c r="P28" s="8" t="s">
        <v>68</v>
      </c>
      <c r="Q28" s="9" t="s">
        <v>163</v>
      </c>
    </row>
    <row r="29" customFormat="false" ht="32.8" hidden="false" customHeight="false" outlineLevel="0" collapsed="false">
      <c r="A29" s="8" t="n">
        <v>22</v>
      </c>
      <c r="B29" s="9" t="s">
        <v>164</v>
      </c>
      <c r="C29" s="9" t="s">
        <v>165</v>
      </c>
      <c r="D29" s="9" t="s">
        <v>166</v>
      </c>
      <c r="E29" s="9" t="s">
        <v>167</v>
      </c>
      <c r="F29" s="10" t="s">
        <v>42</v>
      </c>
      <c r="G29" s="17" t="s">
        <v>80</v>
      </c>
      <c r="H29" s="12" t="s">
        <v>67</v>
      </c>
      <c r="I29" s="13" t="n">
        <v>0.5</v>
      </c>
      <c r="J29" s="8" t="n">
        <v>1</v>
      </c>
      <c r="K29" s="14" t="n">
        <v>25</v>
      </c>
      <c r="L29" s="14" t="n">
        <f aca="false">J29*K29</f>
        <v>25</v>
      </c>
      <c r="M29" s="15" t="n">
        <v>2600</v>
      </c>
      <c r="N29" s="15" t="n">
        <f aca="false">J29*M29</f>
        <v>2600</v>
      </c>
      <c r="O29" s="15" t="n">
        <f aca="false">N29*I29</f>
        <v>1300</v>
      </c>
      <c r="P29" s="8" t="s">
        <v>68</v>
      </c>
      <c r="Q29" s="9" t="s">
        <v>168</v>
      </c>
    </row>
    <row r="30" customFormat="false" ht="32.8" hidden="false" customHeight="false" outlineLevel="0" collapsed="false">
      <c r="A30" s="8" t="n">
        <v>23</v>
      </c>
      <c r="B30" s="9" t="s">
        <v>169</v>
      </c>
      <c r="C30" s="9" t="s">
        <v>170</v>
      </c>
      <c r="D30" s="9" t="s">
        <v>171</v>
      </c>
      <c r="E30" s="9" t="s">
        <v>172</v>
      </c>
      <c r="F30" s="18" t="s">
        <v>92</v>
      </c>
      <c r="G30" s="16" t="s">
        <v>138</v>
      </c>
      <c r="H30" s="12" t="s">
        <v>44</v>
      </c>
      <c r="I30" s="13" t="n">
        <v>1</v>
      </c>
      <c r="J30" s="8" t="n">
        <v>1</v>
      </c>
      <c r="K30" s="14" t="n">
        <v>45</v>
      </c>
      <c r="L30" s="14" t="n">
        <f aca="false">J30*K30</f>
        <v>45</v>
      </c>
      <c r="M30" s="15" t="n">
        <v>1200</v>
      </c>
      <c r="N30" s="15" t="n">
        <f aca="false">J30*M30</f>
        <v>1200</v>
      </c>
      <c r="O30" s="15" t="n">
        <f aca="false">N30*I30</f>
        <v>1200</v>
      </c>
      <c r="P30" s="8" t="s">
        <v>139</v>
      </c>
      <c r="Q30" s="9" t="s">
        <v>173</v>
      </c>
    </row>
    <row r="31" customFormat="false" ht="22.35" hidden="false" customHeight="false" outlineLevel="0" collapsed="false">
      <c r="A31" s="8" t="n">
        <v>24</v>
      </c>
      <c r="B31" s="9" t="s">
        <v>174</v>
      </c>
      <c r="C31" s="9" t="s">
        <v>175</v>
      </c>
      <c r="D31" s="9" t="s">
        <v>176</v>
      </c>
      <c r="E31" s="9" t="s">
        <v>177</v>
      </c>
      <c r="F31" s="10" t="s">
        <v>42</v>
      </c>
      <c r="G31" s="16" t="s">
        <v>60</v>
      </c>
      <c r="H31" s="20" t="s">
        <v>145</v>
      </c>
      <c r="I31" s="13" t="n">
        <v>0.1</v>
      </c>
      <c r="J31" s="8" t="n">
        <v>1</v>
      </c>
      <c r="K31" s="14" t="n">
        <v>10</v>
      </c>
      <c r="L31" s="14" t="n">
        <f aca="false">J31*K31</f>
        <v>10</v>
      </c>
      <c r="M31" s="15" t="n">
        <v>2800</v>
      </c>
      <c r="N31" s="15" t="n">
        <f aca="false">J31*M31</f>
        <v>2800</v>
      </c>
      <c r="O31" s="15" t="n">
        <f aca="false">N31*I31</f>
        <v>280</v>
      </c>
      <c r="P31" s="8" t="s">
        <v>139</v>
      </c>
      <c r="Q31" s="9" t="s">
        <v>178</v>
      </c>
    </row>
    <row r="32" customFormat="false" ht="22.35" hidden="false" customHeight="false" outlineLevel="0" collapsed="false">
      <c r="A32" s="8" t="n">
        <v>25</v>
      </c>
      <c r="B32" s="9" t="s">
        <v>179</v>
      </c>
      <c r="C32" s="9" t="s">
        <v>180</v>
      </c>
      <c r="D32" s="9" t="s">
        <v>181</v>
      </c>
      <c r="E32" s="9" t="s">
        <v>182</v>
      </c>
      <c r="F32" s="18" t="s">
        <v>92</v>
      </c>
      <c r="G32" s="16" t="s">
        <v>138</v>
      </c>
      <c r="H32" s="19" t="s">
        <v>98</v>
      </c>
      <c r="I32" s="13" t="n">
        <v>0.4</v>
      </c>
      <c r="J32" s="8" t="n">
        <v>1</v>
      </c>
      <c r="K32" s="14" t="n">
        <v>132</v>
      </c>
      <c r="L32" s="14" t="n">
        <f aca="false">J32*K32</f>
        <v>132</v>
      </c>
      <c r="M32" s="15" t="n">
        <v>3900</v>
      </c>
      <c r="N32" s="15" t="n">
        <f aca="false">J32*M32</f>
        <v>3900</v>
      </c>
      <c r="O32" s="15" t="n">
        <f aca="false">N32*I32</f>
        <v>1560</v>
      </c>
      <c r="P32" s="8" t="s">
        <v>117</v>
      </c>
      <c r="Q32" s="9" t="s">
        <v>183</v>
      </c>
    </row>
    <row r="33" customFormat="false" ht="15" hidden="false" customHeight="false" outlineLevel="0" collapsed="false">
      <c r="A33" s="6" t="s">
        <v>184</v>
      </c>
      <c r="B33" s="7"/>
      <c r="C33" s="7"/>
      <c r="D33" s="7"/>
      <c r="E33" s="7"/>
      <c r="F33" s="7"/>
      <c r="G33" s="7"/>
      <c r="H33" s="7"/>
      <c r="I33" s="7"/>
      <c r="J33" s="7"/>
      <c r="K33" s="7"/>
      <c r="L33" s="7"/>
      <c r="M33" s="7"/>
      <c r="N33" s="7"/>
      <c r="O33" s="7"/>
      <c r="P33" s="7"/>
      <c r="Q33" s="7"/>
    </row>
    <row r="34" customFormat="false" ht="32.8" hidden="false" customHeight="false" outlineLevel="0" collapsed="false">
      <c r="A34" s="8" t="n">
        <v>26</v>
      </c>
      <c r="B34" s="9" t="s">
        <v>185</v>
      </c>
      <c r="C34" s="9" t="s">
        <v>186</v>
      </c>
      <c r="D34" s="9" t="s">
        <v>187</v>
      </c>
      <c r="E34" s="9" t="s">
        <v>188</v>
      </c>
      <c r="F34" s="10" t="s">
        <v>42</v>
      </c>
      <c r="G34" s="17" t="s">
        <v>80</v>
      </c>
      <c r="H34" s="12" t="s">
        <v>67</v>
      </c>
      <c r="I34" s="13" t="n">
        <v>0.7</v>
      </c>
      <c r="J34" s="8" t="n">
        <v>4</v>
      </c>
      <c r="K34" s="14" t="n">
        <v>95</v>
      </c>
      <c r="L34" s="14" t="n">
        <f aca="false">J34*K34</f>
        <v>380</v>
      </c>
      <c r="M34" s="15" t="n">
        <v>1100</v>
      </c>
      <c r="N34" s="15" t="n">
        <f aca="false">J34*M34</f>
        <v>4400</v>
      </c>
      <c r="O34" s="15" t="n">
        <f aca="false">N34*I34</f>
        <v>3080</v>
      </c>
      <c r="P34" s="8" t="s">
        <v>45</v>
      </c>
      <c r="Q34" s="9" t="s">
        <v>189</v>
      </c>
    </row>
    <row r="35" customFormat="false" ht="22.35" hidden="false" customHeight="false" outlineLevel="0" collapsed="false">
      <c r="A35" s="8" t="n">
        <v>27</v>
      </c>
      <c r="B35" s="9" t="s">
        <v>190</v>
      </c>
      <c r="C35" s="9" t="s">
        <v>191</v>
      </c>
      <c r="D35" s="9" t="s">
        <v>192</v>
      </c>
      <c r="E35" s="9" t="s">
        <v>193</v>
      </c>
      <c r="F35" s="18" t="s">
        <v>92</v>
      </c>
      <c r="G35" s="16" t="s">
        <v>138</v>
      </c>
      <c r="H35" s="12" t="s">
        <v>67</v>
      </c>
      <c r="I35" s="13" t="n">
        <v>0.7</v>
      </c>
      <c r="J35" s="8" t="n">
        <v>2</v>
      </c>
      <c r="K35" s="14" t="n">
        <v>155</v>
      </c>
      <c r="L35" s="14" t="n">
        <f aca="false">J35*K35</f>
        <v>310</v>
      </c>
      <c r="M35" s="15" t="n">
        <v>3000</v>
      </c>
      <c r="N35" s="15" t="n">
        <f aca="false">J35*M35</f>
        <v>6000</v>
      </c>
      <c r="O35" s="15" t="n">
        <f aca="false">N35*I35</f>
        <v>4200</v>
      </c>
      <c r="P35" s="8" t="s">
        <v>81</v>
      </c>
      <c r="Q35" s="9" t="s">
        <v>194</v>
      </c>
    </row>
    <row r="36" customFormat="false" ht="22.35" hidden="false" customHeight="false" outlineLevel="0" collapsed="false">
      <c r="A36" s="8" t="n">
        <v>28</v>
      </c>
      <c r="B36" s="9" t="s">
        <v>195</v>
      </c>
      <c r="C36" s="9" t="s">
        <v>196</v>
      </c>
      <c r="D36" s="9" t="s">
        <v>197</v>
      </c>
      <c r="E36" s="9" t="s">
        <v>198</v>
      </c>
      <c r="F36" s="18" t="s">
        <v>92</v>
      </c>
      <c r="G36" s="16" t="s">
        <v>138</v>
      </c>
      <c r="H36" s="12" t="s">
        <v>44</v>
      </c>
      <c r="I36" s="13" t="n">
        <v>1</v>
      </c>
      <c r="J36" s="8" t="n">
        <v>4</v>
      </c>
      <c r="K36" s="14" t="n">
        <v>45</v>
      </c>
      <c r="L36" s="14" t="n">
        <f aca="false">J36*K36</f>
        <v>180</v>
      </c>
      <c r="M36" s="15" t="n">
        <v>750</v>
      </c>
      <c r="N36" s="15" t="n">
        <f aca="false">J36*M36</f>
        <v>3000</v>
      </c>
      <c r="O36" s="15" t="n">
        <f aca="false">N36*I36</f>
        <v>3000</v>
      </c>
      <c r="P36" s="8" t="s">
        <v>81</v>
      </c>
      <c r="Q36" s="9" t="s">
        <v>199</v>
      </c>
    </row>
    <row r="37" customFormat="false" ht="32.8" hidden="false" customHeight="false" outlineLevel="0" collapsed="false">
      <c r="A37" s="8" t="n">
        <v>29</v>
      </c>
      <c r="B37" s="9" t="s">
        <v>200</v>
      </c>
      <c r="C37" s="9" t="s">
        <v>201</v>
      </c>
      <c r="D37" s="9" t="s">
        <v>202</v>
      </c>
      <c r="E37" s="9" t="s">
        <v>203</v>
      </c>
      <c r="F37" s="18" t="s">
        <v>92</v>
      </c>
      <c r="G37" s="16" t="s">
        <v>138</v>
      </c>
      <c r="H37" s="12" t="s">
        <v>67</v>
      </c>
      <c r="I37" s="13" t="n">
        <v>0.7</v>
      </c>
      <c r="J37" s="8" t="n">
        <v>4</v>
      </c>
      <c r="K37" s="14" t="n">
        <v>22</v>
      </c>
      <c r="L37" s="14" t="n">
        <f aca="false">J37*K37</f>
        <v>88</v>
      </c>
      <c r="M37" s="15" t="n">
        <v>400</v>
      </c>
      <c r="N37" s="15" t="n">
        <f aca="false">J37*M37</f>
        <v>1600</v>
      </c>
      <c r="O37" s="15" t="n">
        <f aca="false">N37*I37</f>
        <v>1120</v>
      </c>
      <c r="P37" s="8" t="s">
        <v>81</v>
      </c>
      <c r="Q37" s="9" t="s">
        <v>204</v>
      </c>
    </row>
    <row r="38" customFormat="false" ht="22.35" hidden="false" customHeight="false" outlineLevel="0" collapsed="false">
      <c r="A38" s="8" t="n">
        <v>30</v>
      </c>
      <c r="B38" s="9" t="s">
        <v>205</v>
      </c>
      <c r="C38" s="9" t="s">
        <v>206</v>
      </c>
      <c r="D38" s="9" t="s">
        <v>207</v>
      </c>
      <c r="E38" s="9" t="s">
        <v>208</v>
      </c>
      <c r="F38" s="18" t="s">
        <v>92</v>
      </c>
      <c r="G38" s="16" t="s">
        <v>138</v>
      </c>
      <c r="H38" s="12" t="s">
        <v>67</v>
      </c>
      <c r="I38" s="13" t="n">
        <v>0.75</v>
      </c>
      <c r="J38" s="8" t="n">
        <v>1</v>
      </c>
      <c r="K38" s="14" t="n">
        <v>268</v>
      </c>
      <c r="L38" s="14" t="n">
        <f aca="false">J38*K38</f>
        <v>268</v>
      </c>
      <c r="M38" s="15" t="n">
        <v>2700</v>
      </c>
      <c r="N38" s="15" t="n">
        <f aca="false">J38*M38</f>
        <v>2700</v>
      </c>
      <c r="O38" s="15" t="n">
        <f aca="false">N38*I38</f>
        <v>2025</v>
      </c>
      <c r="P38" s="8" t="s">
        <v>45</v>
      </c>
      <c r="Q38" s="9" t="s">
        <v>209</v>
      </c>
    </row>
    <row r="39" customFormat="false" ht="32.8" hidden="false" customHeight="false" outlineLevel="0" collapsed="false">
      <c r="A39" s="8" t="n">
        <v>31</v>
      </c>
      <c r="B39" s="9" t="s">
        <v>210</v>
      </c>
      <c r="C39" s="9" t="s">
        <v>211</v>
      </c>
      <c r="D39" s="9" t="s">
        <v>212</v>
      </c>
      <c r="E39" s="9" t="s">
        <v>172</v>
      </c>
      <c r="F39" s="10" t="s">
        <v>42</v>
      </c>
      <c r="G39" s="16" t="s">
        <v>138</v>
      </c>
      <c r="H39" s="12" t="s">
        <v>44</v>
      </c>
      <c r="I39" s="13" t="n">
        <v>1</v>
      </c>
      <c r="J39" s="8" t="n">
        <v>1</v>
      </c>
      <c r="K39" s="14" t="n">
        <v>243</v>
      </c>
      <c r="L39" s="14" t="n">
        <f aca="false">J39*K39</f>
        <v>243</v>
      </c>
      <c r="M39" s="15" t="n">
        <v>1450</v>
      </c>
      <c r="N39" s="15" t="n">
        <f aca="false">J39*M39</f>
        <v>1450</v>
      </c>
      <c r="O39" s="15" t="n">
        <f aca="false">N39*I39</f>
        <v>1450</v>
      </c>
      <c r="P39" s="8" t="s">
        <v>139</v>
      </c>
      <c r="Q39" s="9" t="s">
        <v>213</v>
      </c>
    </row>
    <row r="40" customFormat="false" ht="22.35" hidden="false" customHeight="false" outlineLevel="0" collapsed="false">
      <c r="A40" s="8" t="n">
        <v>32</v>
      </c>
      <c r="B40" s="9" t="s">
        <v>214</v>
      </c>
      <c r="C40" s="9" t="s">
        <v>215</v>
      </c>
      <c r="D40" s="9" t="s">
        <v>216</v>
      </c>
      <c r="E40" s="9" t="s">
        <v>217</v>
      </c>
      <c r="F40" s="10" t="s">
        <v>42</v>
      </c>
      <c r="G40" s="16" t="s">
        <v>138</v>
      </c>
      <c r="H40" s="12" t="s">
        <v>44</v>
      </c>
      <c r="I40" s="13" t="n">
        <v>1</v>
      </c>
      <c r="J40" s="8" t="n">
        <v>1</v>
      </c>
      <c r="K40" s="14" t="n">
        <v>110</v>
      </c>
      <c r="L40" s="14" t="n">
        <f aca="false">J40*K40</f>
        <v>110</v>
      </c>
      <c r="M40" s="15" t="n">
        <v>800</v>
      </c>
      <c r="N40" s="15" t="n">
        <f aca="false">J40*M40</f>
        <v>800</v>
      </c>
      <c r="O40" s="15" t="n">
        <f aca="false">N40*I40</f>
        <v>800</v>
      </c>
      <c r="P40" s="8" t="s">
        <v>139</v>
      </c>
      <c r="Q40" s="9" t="s">
        <v>218</v>
      </c>
    </row>
    <row r="41" customFormat="false" ht="22.35" hidden="false" customHeight="false" outlineLevel="0" collapsed="false">
      <c r="A41" s="8" t="n">
        <v>33</v>
      </c>
      <c r="B41" s="9" t="s">
        <v>219</v>
      </c>
      <c r="C41" s="9" t="s">
        <v>220</v>
      </c>
      <c r="D41" s="9" t="s">
        <v>221</v>
      </c>
      <c r="E41" s="9" t="s">
        <v>222</v>
      </c>
      <c r="F41" s="18" t="s">
        <v>92</v>
      </c>
      <c r="G41" s="16" t="s">
        <v>138</v>
      </c>
      <c r="H41" s="12" t="s">
        <v>44</v>
      </c>
      <c r="I41" s="13" t="n">
        <v>1</v>
      </c>
      <c r="J41" s="8" t="n">
        <v>1</v>
      </c>
      <c r="K41" s="14" t="n">
        <v>95</v>
      </c>
      <c r="L41" s="14" t="n">
        <f aca="false">J41*K41</f>
        <v>95</v>
      </c>
      <c r="M41" s="15" t="n">
        <v>600</v>
      </c>
      <c r="N41" s="15" t="n">
        <f aca="false">J41*M41</f>
        <v>600</v>
      </c>
      <c r="O41" s="15" t="n">
        <f aca="false">N41*I41</f>
        <v>600</v>
      </c>
      <c r="P41" s="8" t="s">
        <v>139</v>
      </c>
      <c r="Q41" s="9" t="s">
        <v>223</v>
      </c>
    </row>
    <row r="42" customFormat="false" ht="15" hidden="false" customHeight="false" outlineLevel="0" collapsed="false">
      <c r="A42" s="6" t="s">
        <v>224</v>
      </c>
      <c r="B42" s="7"/>
      <c r="C42" s="7"/>
      <c r="D42" s="7"/>
      <c r="E42" s="7"/>
      <c r="F42" s="7"/>
      <c r="G42" s="7"/>
      <c r="H42" s="7"/>
      <c r="I42" s="7"/>
      <c r="J42" s="7"/>
      <c r="K42" s="7"/>
      <c r="L42" s="7"/>
      <c r="M42" s="7"/>
      <c r="N42" s="7"/>
      <c r="O42" s="7"/>
      <c r="P42" s="7"/>
      <c r="Q42" s="7"/>
    </row>
    <row r="43" customFormat="false" ht="32.8" hidden="false" customHeight="false" outlineLevel="0" collapsed="false">
      <c r="A43" s="8" t="n">
        <v>34</v>
      </c>
      <c r="B43" s="9" t="s">
        <v>225</v>
      </c>
      <c r="C43" s="9" t="s">
        <v>226</v>
      </c>
      <c r="D43" s="9" t="s">
        <v>227</v>
      </c>
      <c r="E43" s="9" t="s">
        <v>228</v>
      </c>
      <c r="F43" s="10" t="s">
        <v>42</v>
      </c>
      <c r="G43" s="17" t="s">
        <v>80</v>
      </c>
      <c r="H43" s="19" t="s">
        <v>98</v>
      </c>
      <c r="I43" s="13" t="n">
        <v>0.4</v>
      </c>
      <c r="J43" s="8" t="n">
        <v>1</v>
      </c>
      <c r="K43" s="14" t="n">
        <v>45</v>
      </c>
      <c r="L43" s="14" t="n">
        <f aca="false">J43*K43</f>
        <v>45</v>
      </c>
      <c r="M43" s="15" t="n">
        <v>9000</v>
      </c>
      <c r="N43" s="15" t="n">
        <f aca="false">J43*M43</f>
        <v>9000</v>
      </c>
      <c r="O43" s="15" t="n">
        <f aca="false">N43*I43</f>
        <v>3600</v>
      </c>
      <c r="P43" s="8" t="s">
        <v>68</v>
      </c>
      <c r="Q43" s="9" t="s">
        <v>229</v>
      </c>
    </row>
    <row r="44" customFormat="false" ht="32.8" hidden="false" customHeight="false" outlineLevel="0" collapsed="false">
      <c r="A44" s="8" t="n">
        <v>35</v>
      </c>
      <c r="B44" s="9" t="s">
        <v>230</v>
      </c>
      <c r="C44" s="9" t="s">
        <v>231</v>
      </c>
      <c r="D44" s="9" t="s">
        <v>232</v>
      </c>
      <c r="E44" s="9" t="s">
        <v>233</v>
      </c>
      <c r="F44" s="10" t="s">
        <v>42</v>
      </c>
      <c r="G44" s="17" t="s">
        <v>80</v>
      </c>
      <c r="H44" s="19" t="s">
        <v>98</v>
      </c>
      <c r="I44" s="13" t="n">
        <v>0.4</v>
      </c>
      <c r="J44" s="8" t="n">
        <v>1</v>
      </c>
      <c r="K44" s="14" t="n">
        <v>30</v>
      </c>
      <c r="L44" s="14" t="n">
        <f aca="false">J44*K44</f>
        <v>30</v>
      </c>
      <c r="M44" s="15" t="n">
        <v>7500</v>
      </c>
      <c r="N44" s="15" t="n">
        <f aca="false">J44*M44</f>
        <v>7500</v>
      </c>
      <c r="O44" s="15" t="n">
        <f aca="false">N44*I44</f>
        <v>3000</v>
      </c>
      <c r="P44" s="8" t="s">
        <v>81</v>
      </c>
      <c r="Q44" s="9" t="s">
        <v>234</v>
      </c>
    </row>
    <row r="45" customFormat="false" ht="22.35" hidden="false" customHeight="false" outlineLevel="0" collapsed="false">
      <c r="A45" s="8" t="n">
        <v>36</v>
      </c>
      <c r="B45" s="9" t="s">
        <v>235</v>
      </c>
      <c r="C45" s="9" t="s">
        <v>236</v>
      </c>
      <c r="D45" s="9" t="s">
        <v>237</v>
      </c>
      <c r="E45" s="9" t="s">
        <v>238</v>
      </c>
      <c r="F45" s="18" t="s">
        <v>92</v>
      </c>
      <c r="G45" s="17" t="s">
        <v>80</v>
      </c>
      <c r="H45" s="12" t="s">
        <v>67</v>
      </c>
      <c r="I45" s="13" t="n">
        <v>0.6</v>
      </c>
      <c r="J45" s="8" t="n">
        <v>1</v>
      </c>
      <c r="K45" s="14" t="n">
        <v>64</v>
      </c>
      <c r="L45" s="14" t="n">
        <f aca="false">J45*K45</f>
        <v>64</v>
      </c>
      <c r="M45" s="15" t="n">
        <v>1300</v>
      </c>
      <c r="N45" s="15" t="n">
        <f aca="false">J45*M45</f>
        <v>1300</v>
      </c>
      <c r="O45" s="15" t="n">
        <f aca="false">N45*I45</f>
        <v>780</v>
      </c>
      <c r="P45" s="8" t="s">
        <v>117</v>
      </c>
      <c r="Q45" s="9" t="s">
        <v>239</v>
      </c>
    </row>
    <row r="46" customFormat="false" ht="15" hidden="false" customHeight="false" outlineLevel="0" collapsed="false">
      <c r="A46" s="6" t="s">
        <v>240</v>
      </c>
      <c r="B46" s="7"/>
      <c r="C46" s="7"/>
      <c r="D46" s="7"/>
      <c r="E46" s="7"/>
      <c r="F46" s="7"/>
      <c r="G46" s="7"/>
      <c r="H46" s="7"/>
      <c r="I46" s="7"/>
      <c r="J46" s="7"/>
      <c r="K46" s="7"/>
      <c r="L46" s="7"/>
      <c r="M46" s="7"/>
      <c r="N46" s="7"/>
      <c r="O46" s="7"/>
      <c r="P46" s="7"/>
      <c r="Q46" s="7"/>
    </row>
    <row r="47" customFormat="false" ht="32.8" hidden="false" customHeight="false" outlineLevel="0" collapsed="false">
      <c r="A47" s="8" t="n">
        <v>37</v>
      </c>
      <c r="B47" s="9" t="s">
        <v>241</v>
      </c>
      <c r="C47" s="9" t="s">
        <v>242</v>
      </c>
      <c r="D47" s="9" t="s">
        <v>243</v>
      </c>
      <c r="E47" s="9" t="s">
        <v>244</v>
      </c>
      <c r="F47" s="10" t="s">
        <v>42</v>
      </c>
      <c r="G47" s="17" t="s">
        <v>80</v>
      </c>
      <c r="H47" s="19" t="s">
        <v>98</v>
      </c>
      <c r="I47" s="13" t="n">
        <v>0.4</v>
      </c>
      <c r="J47" s="8" t="n">
        <v>4</v>
      </c>
      <c r="K47" s="14" t="n">
        <v>14</v>
      </c>
      <c r="L47" s="14" t="n">
        <f aca="false">J47*K47</f>
        <v>56</v>
      </c>
      <c r="M47" s="15" t="n">
        <v>700</v>
      </c>
      <c r="N47" s="15" t="n">
        <f aca="false">J47*M47</f>
        <v>2800</v>
      </c>
      <c r="O47" s="15" t="n">
        <f aca="false">N47*I47</f>
        <v>1120</v>
      </c>
      <c r="P47" s="8" t="s">
        <v>99</v>
      </c>
      <c r="Q47" s="9" t="s">
        <v>245</v>
      </c>
    </row>
    <row r="48" customFormat="false" ht="32.8" hidden="false" customHeight="false" outlineLevel="0" collapsed="false">
      <c r="A48" s="8" t="n">
        <v>38</v>
      </c>
      <c r="B48" s="9" t="s">
        <v>246</v>
      </c>
      <c r="C48" s="9" t="s">
        <v>247</v>
      </c>
      <c r="D48" s="9" t="s">
        <v>248</v>
      </c>
      <c r="E48" s="9" t="s">
        <v>172</v>
      </c>
      <c r="F48" s="18" t="s">
        <v>92</v>
      </c>
      <c r="G48" s="16" t="s">
        <v>138</v>
      </c>
      <c r="H48" s="12" t="s">
        <v>44</v>
      </c>
      <c r="I48" s="13" t="n">
        <v>1</v>
      </c>
      <c r="J48" s="8" t="n">
        <v>1</v>
      </c>
      <c r="K48" s="14" t="n">
        <v>120</v>
      </c>
      <c r="L48" s="14" t="n">
        <f aca="false">J48*K48</f>
        <v>120</v>
      </c>
      <c r="M48" s="15" t="n">
        <v>800</v>
      </c>
      <c r="N48" s="15" t="n">
        <f aca="false">J48*M48</f>
        <v>800</v>
      </c>
      <c r="O48" s="15" t="n">
        <f aca="false">N48*I48</f>
        <v>800</v>
      </c>
      <c r="P48" s="8" t="s">
        <v>139</v>
      </c>
      <c r="Q48" s="9" t="s">
        <v>249</v>
      </c>
    </row>
    <row r="49" customFormat="false" ht="22.35" hidden="false" customHeight="false" outlineLevel="0" collapsed="false">
      <c r="A49" s="8" t="n">
        <v>39</v>
      </c>
      <c r="B49" s="9" t="s">
        <v>250</v>
      </c>
      <c r="C49" s="9" t="s">
        <v>251</v>
      </c>
      <c r="D49" s="9" t="s">
        <v>252</v>
      </c>
      <c r="E49" s="9" t="s">
        <v>253</v>
      </c>
      <c r="F49" s="18" t="s">
        <v>92</v>
      </c>
      <c r="G49" s="16" t="s">
        <v>138</v>
      </c>
      <c r="H49" s="12" t="s">
        <v>44</v>
      </c>
      <c r="I49" s="13" t="n">
        <v>1</v>
      </c>
      <c r="J49" s="8" t="n">
        <v>4</v>
      </c>
      <c r="K49" s="14" t="n">
        <v>9</v>
      </c>
      <c r="L49" s="14" t="n">
        <f aca="false">J49*K49</f>
        <v>36</v>
      </c>
      <c r="M49" s="15" t="n">
        <v>250</v>
      </c>
      <c r="N49" s="15" t="n">
        <f aca="false">J49*M49</f>
        <v>1000</v>
      </c>
      <c r="O49" s="15" t="n">
        <f aca="false">N49*I49</f>
        <v>1000</v>
      </c>
      <c r="P49" s="8" t="s">
        <v>139</v>
      </c>
      <c r="Q49" s="9" t="s">
        <v>254</v>
      </c>
    </row>
    <row r="50" customFormat="false" ht="22.35" hidden="false" customHeight="false" outlineLevel="0" collapsed="false">
      <c r="A50" s="8" t="n">
        <v>40</v>
      </c>
      <c r="B50" s="9" t="s">
        <v>255</v>
      </c>
      <c r="C50" s="9" t="s">
        <v>256</v>
      </c>
      <c r="D50" s="9" t="s">
        <v>257</v>
      </c>
      <c r="E50" s="9" t="s">
        <v>258</v>
      </c>
      <c r="F50" s="10" t="s">
        <v>42</v>
      </c>
      <c r="G50" s="16" t="s">
        <v>138</v>
      </c>
      <c r="H50" s="19" t="s">
        <v>98</v>
      </c>
      <c r="I50" s="13" t="n">
        <v>0.3</v>
      </c>
      <c r="J50" s="8" t="n">
        <v>4</v>
      </c>
      <c r="K50" s="14" t="n">
        <v>4</v>
      </c>
      <c r="L50" s="14" t="n">
        <f aca="false">J50*K50</f>
        <v>16</v>
      </c>
      <c r="M50" s="15" t="n">
        <v>150</v>
      </c>
      <c r="N50" s="15" t="n">
        <f aca="false">J50*M50</f>
        <v>600</v>
      </c>
      <c r="O50" s="15" t="n">
        <f aca="false">N50*I50</f>
        <v>180</v>
      </c>
      <c r="P50" s="8" t="s">
        <v>139</v>
      </c>
      <c r="Q50" s="9" t="s">
        <v>259</v>
      </c>
    </row>
    <row r="51" customFormat="false" ht="22.35" hidden="false" customHeight="false" outlineLevel="0" collapsed="false">
      <c r="A51" s="8" t="n">
        <v>41</v>
      </c>
      <c r="B51" s="9" t="s">
        <v>260</v>
      </c>
      <c r="C51" s="9" t="s">
        <v>261</v>
      </c>
      <c r="D51" s="9" t="s">
        <v>262</v>
      </c>
      <c r="E51" s="9" t="s">
        <v>222</v>
      </c>
      <c r="F51" s="18" t="s">
        <v>92</v>
      </c>
      <c r="G51" s="16" t="s">
        <v>138</v>
      </c>
      <c r="H51" s="12" t="s">
        <v>44</v>
      </c>
      <c r="I51" s="13" t="n">
        <v>1</v>
      </c>
      <c r="J51" s="8" t="n">
        <v>1</v>
      </c>
      <c r="K51" s="14" t="n">
        <v>15</v>
      </c>
      <c r="L51" s="14" t="n">
        <f aca="false">J51*K51</f>
        <v>15</v>
      </c>
      <c r="M51" s="15" t="n">
        <v>200</v>
      </c>
      <c r="N51" s="15" t="n">
        <f aca="false">J51*M51</f>
        <v>200</v>
      </c>
      <c r="O51" s="15" t="n">
        <f aca="false">N51*I51</f>
        <v>200</v>
      </c>
      <c r="P51" s="8" t="s">
        <v>139</v>
      </c>
      <c r="Q51" s="9" t="s">
        <v>263</v>
      </c>
    </row>
    <row r="52" customFormat="false" ht="15" hidden="false" customHeight="false" outlineLevel="0" collapsed="false">
      <c r="B52" s="21" t="s">
        <v>264</v>
      </c>
      <c r="I52" s="22" t="n">
        <f aca="false">O52/N52</f>
        <v>0.583767802688731</v>
      </c>
      <c r="L52" s="23" t="n">
        <f aca="false">SUM(L5:L51)</f>
        <v>5780</v>
      </c>
      <c r="N52" s="24" t="n">
        <f aca="false">SUM(N5:N51)</f>
        <v>290546</v>
      </c>
      <c r="O52" s="24" t="n">
        <f aca="false">SUM(O5:O51)</f>
        <v>169611.4</v>
      </c>
    </row>
  </sheetData>
  <hyperlinks>
    <hyperlink ref="F5" r:id="rId1" display="open"/>
    <hyperlink ref="F6" r:id="rId2" display="open"/>
    <hyperlink ref="F7" r:id="rId3" display="open"/>
    <hyperlink ref="F8" r:id="rId4" display="open"/>
    <hyperlink ref="F10" r:id="rId5" display="open"/>
    <hyperlink ref="F11" r:id="rId6" display="open"/>
    <hyperlink ref="F12" r:id="rId7" display="open"/>
    <hyperlink ref="F13" r:id="rId8" display="open"/>
    <hyperlink ref="F15" r:id="rId9" display="open"/>
    <hyperlink ref="F17" r:id="rId10" display="open"/>
    <hyperlink ref="F19" r:id="rId11" display="open"/>
    <hyperlink ref="F20" r:id="rId12" display="open"/>
    <hyperlink ref="F21" r:id="rId13" display="open"/>
    <hyperlink ref="F22" r:id="rId14" display="open"/>
    <hyperlink ref="F23" r:id="rId15" display="open"/>
    <hyperlink ref="F24" r:id="rId16" display="open"/>
    <hyperlink ref="F25" r:id="rId17" display="open"/>
    <hyperlink ref="F27" r:id="rId18" display="open"/>
    <hyperlink ref="F28" r:id="rId19" display="open"/>
    <hyperlink ref="F29" r:id="rId20" display="open"/>
    <hyperlink ref="F31" r:id="rId21" display="open"/>
    <hyperlink ref="F34" r:id="rId22" display="open"/>
    <hyperlink ref="F39" r:id="rId23" display="open"/>
    <hyperlink ref="F40" r:id="rId24" display="open"/>
    <hyperlink ref="F43" r:id="rId25" display="open"/>
    <hyperlink ref="F44" r:id="rId26" display="open"/>
    <hyperlink ref="F47" r:id="rId27" display="open"/>
    <hyperlink ref="F50" r:id="rId28"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1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265</v>
      </c>
    </row>
    <row r="2" customFormat="false" ht="15" hidden="false" customHeight="false" outlineLevel="0" collapsed="false">
      <c r="A2" s="2" t="s">
        <v>266</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267</v>
      </c>
      <c r="B4" s="7"/>
      <c r="C4" s="7"/>
      <c r="D4" s="7"/>
      <c r="E4" s="7"/>
      <c r="F4" s="7"/>
      <c r="G4" s="7"/>
      <c r="H4" s="7"/>
      <c r="I4" s="7"/>
      <c r="J4" s="7"/>
      <c r="K4" s="7"/>
      <c r="L4" s="7"/>
      <c r="M4" s="7"/>
      <c r="N4" s="7"/>
      <c r="O4" s="7"/>
      <c r="P4" s="7"/>
      <c r="Q4" s="7"/>
    </row>
    <row r="5" customFormat="false" ht="32.8" hidden="false" customHeight="false" outlineLevel="0" collapsed="false">
      <c r="A5" s="8" t="n">
        <v>1</v>
      </c>
      <c r="B5" s="9" t="s">
        <v>268</v>
      </c>
      <c r="C5" s="9" t="s">
        <v>269</v>
      </c>
      <c r="D5" s="9" t="s">
        <v>270</v>
      </c>
      <c r="E5" s="9" t="s">
        <v>271</v>
      </c>
      <c r="F5" s="18" t="s">
        <v>92</v>
      </c>
      <c r="G5" s="16" t="s">
        <v>138</v>
      </c>
      <c r="H5" s="12" t="s">
        <v>44</v>
      </c>
      <c r="I5" s="13" t="n">
        <v>1</v>
      </c>
      <c r="J5" s="8" t="n">
        <v>14</v>
      </c>
      <c r="K5" s="14" t="n">
        <v>55</v>
      </c>
      <c r="L5" s="14" t="n">
        <f aca="false">J5*K5</f>
        <v>770</v>
      </c>
      <c r="M5" s="15" t="n">
        <v>150</v>
      </c>
      <c r="N5" s="15" t="n">
        <f aca="false">J5*M5</f>
        <v>2100</v>
      </c>
      <c r="O5" s="15" t="n">
        <f aca="false">N5*I5</f>
        <v>2100</v>
      </c>
      <c r="P5" s="8" t="s">
        <v>45</v>
      </c>
      <c r="Q5" s="9" t="s">
        <v>272</v>
      </c>
    </row>
    <row r="6" customFormat="false" ht="22.35" hidden="false" customHeight="false" outlineLevel="0" collapsed="false">
      <c r="A6" s="8" t="n">
        <v>2</v>
      </c>
      <c r="B6" s="9" t="s">
        <v>273</v>
      </c>
      <c r="C6" s="9" t="s">
        <v>274</v>
      </c>
      <c r="D6" s="9" t="s">
        <v>275</v>
      </c>
      <c r="E6" s="9" t="s">
        <v>222</v>
      </c>
      <c r="F6" s="18" t="s">
        <v>92</v>
      </c>
      <c r="G6" s="16" t="s">
        <v>138</v>
      </c>
      <c r="H6" s="12" t="s">
        <v>44</v>
      </c>
      <c r="I6" s="13" t="n">
        <v>1</v>
      </c>
      <c r="J6" s="8" t="n">
        <v>14</v>
      </c>
      <c r="K6" s="14" t="n">
        <v>18</v>
      </c>
      <c r="L6" s="14" t="n">
        <f aca="false">J6*K6</f>
        <v>252</v>
      </c>
      <c r="M6" s="15" t="n">
        <v>50</v>
      </c>
      <c r="N6" s="15" t="n">
        <f aca="false">J6*M6</f>
        <v>700</v>
      </c>
      <c r="O6" s="15" t="n">
        <f aca="false">N6*I6</f>
        <v>700</v>
      </c>
      <c r="P6" s="8" t="s">
        <v>139</v>
      </c>
      <c r="Q6" s="9" t="s">
        <v>276</v>
      </c>
    </row>
    <row r="7" customFormat="false" ht="32.8" hidden="false" customHeight="false" outlineLevel="0" collapsed="false">
      <c r="A7" s="8" t="n">
        <v>3</v>
      </c>
      <c r="B7" s="9" t="s">
        <v>277</v>
      </c>
      <c r="C7" s="9" t="s">
        <v>278</v>
      </c>
      <c r="D7" s="9" t="s">
        <v>279</v>
      </c>
      <c r="E7" s="9" t="s">
        <v>280</v>
      </c>
      <c r="F7" s="18" t="s">
        <v>92</v>
      </c>
      <c r="G7" s="16" t="s">
        <v>138</v>
      </c>
      <c r="H7" s="12" t="s">
        <v>44</v>
      </c>
      <c r="I7" s="13" t="n">
        <v>1</v>
      </c>
      <c r="J7" s="8" t="n">
        <v>14</v>
      </c>
      <c r="K7" s="14" t="n">
        <v>110</v>
      </c>
      <c r="L7" s="14" t="n">
        <f aca="false">J7*K7</f>
        <v>1540</v>
      </c>
      <c r="M7" s="15" t="n">
        <v>180</v>
      </c>
      <c r="N7" s="15" t="n">
        <f aca="false">J7*M7</f>
        <v>2520</v>
      </c>
      <c r="O7" s="15" t="n">
        <f aca="false">N7*I7</f>
        <v>2520</v>
      </c>
      <c r="P7" s="8" t="s">
        <v>139</v>
      </c>
      <c r="Q7" s="9" t="s">
        <v>281</v>
      </c>
    </row>
    <row r="8" customFormat="false" ht="22.35" hidden="false" customHeight="false" outlineLevel="0" collapsed="false">
      <c r="A8" s="8" t="n">
        <v>4</v>
      </c>
      <c r="B8" s="9" t="s">
        <v>282</v>
      </c>
      <c r="C8" s="9" t="s">
        <v>283</v>
      </c>
      <c r="D8" s="9" t="s">
        <v>284</v>
      </c>
      <c r="E8" s="9" t="s">
        <v>222</v>
      </c>
      <c r="F8" s="18" t="s">
        <v>92</v>
      </c>
      <c r="G8" s="16" t="s">
        <v>138</v>
      </c>
      <c r="H8" s="12" t="s">
        <v>44</v>
      </c>
      <c r="I8" s="13" t="n">
        <v>1</v>
      </c>
      <c r="J8" s="8" t="n">
        <v>14</v>
      </c>
      <c r="K8" s="14" t="n">
        <v>17</v>
      </c>
      <c r="L8" s="14" t="n">
        <f aca="false">J8*K8</f>
        <v>238</v>
      </c>
      <c r="M8" s="15" t="n">
        <v>20</v>
      </c>
      <c r="N8" s="15" t="n">
        <f aca="false">J8*M8</f>
        <v>280</v>
      </c>
      <c r="O8" s="15" t="n">
        <f aca="false">N8*I8</f>
        <v>280</v>
      </c>
      <c r="P8" s="8" t="s">
        <v>139</v>
      </c>
      <c r="Q8" s="9" t="s">
        <v>285</v>
      </c>
    </row>
    <row r="9" customFormat="false" ht="22.35" hidden="false" customHeight="false" outlineLevel="0" collapsed="false">
      <c r="A9" s="8" t="n">
        <v>5</v>
      </c>
      <c r="B9" s="9" t="s">
        <v>286</v>
      </c>
      <c r="C9" s="9" t="s">
        <v>287</v>
      </c>
      <c r="D9" s="9" t="s">
        <v>288</v>
      </c>
      <c r="E9" s="9" t="s">
        <v>172</v>
      </c>
      <c r="F9" s="18" t="s">
        <v>92</v>
      </c>
      <c r="G9" s="16" t="s">
        <v>138</v>
      </c>
      <c r="H9" s="12" t="s">
        <v>44</v>
      </c>
      <c r="I9" s="13" t="n">
        <v>1</v>
      </c>
      <c r="J9" s="8" t="n">
        <v>24</v>
      </c>
      <c r="K9" s="14" t="n">
        <v>200</v>
      </c>
      <c r="L9" s="14" t="n">
        <f aca="false">J9*K9</f>
        <v>4800</v>
      </c>
      <c r="M9" s="15" t="n">
        <v>120</v>
      </c>
      <c r="N9" s="15" t="n">
        <f aca="false">J9*M9</f>
        <v>2880</v>
      </c>
      <c r="O9" s="15" t="n">
        <f aca="false">N9*I9</f>
        <v>2880</v>
      </c>
      <c r="P9" s="8" t="s">
        <v>139</v>
      </c>
      <c r="Q9" s="9" t="s">
        <v>289</v>
      </c>
    </row>
    <row r="10" customFormat="false" ht="15" hidden="false" customHeight="false" outlineLevel="0" collapsed="false">
      <c r="A10" s="6" t="s">
        <v>290</v>
      </c>
      <c r="B10" s="7"/>
      <c r="C10" s="7"/>
      <c r="D10" s="7"/>
      <c r="E10" s="7"/>
      <c r="F10" s="7"/>
      <c r="G10" s="7"/>
      <c r="H10" s="7"/>
      <c r="I10" s="7"/>
      <c r="J10" s="7"/>
      <c r="K10" s="7"/>
      <c r="L10" s="7"/>
      <c r="M10" s="7"/>
      <c r="N10" s="7"/>
      <c r="O10" s="7"/>
      <c r="P10" s="7"/>
      <c r="Q10" s="7"/>
    </row>
    <row r="11" customFormat="false" ht="32.8" hidden="false" customHeight="false" outlineLevel="0" collapsed="false">
      <c r="A11" s="8" t="n">
        <v>6</v>
      </c>
      <c r="B11" s="9" t="s">
        <v>291</v>
      </c>
      <c r="C11" s="9" t="s">
        <v>292</v>
      </c>
      <c r="D11" s="9" t="s">
        <v>293</v>
      </c>
      <c r="E11" s="9" t="s">
        <v>294</v>
      </c>
      <c r="F11" s="18" t="s">
        <v>92</v>
      </c>
      <c r="G11" s="16" t="s">
        <v>138</v>
      </c>
      <c r="H11" s="12" t="s">
        <v>44</v>
      </c>
      <c r="I11" s="13" t="n">
        <v>1</v>
      </c>
      <c r="J11" s="8" t="n">
        <v>6</v>
      </c>
      <c r="K11" s="14" t="n">
        <v>4000</v>
      </c>
      <c r="L11" s="14" t="n">
        <f aca="false">J11*K11</f>
        <v>24000</v>
      </c>
      <c r="M11" s="15" t="n">
        <v>3000</v>
      </c>
      <c r="N11" s="15" t="n">
        <f aca="false">J11*M11</f>
        <v>18000</v>
      </c>
      <c r="O11" s="15" t="n">
        <f aca="false">N11*I11</f>
        <v>18000</v>
      </c>
      <c r="P11" s="8" t="s">
        <v>81</v>
      </c>
      <c r="Q11" s="9" t="s">
        <v>295</v>
      </c>
    </row>
    <row r="12" customFormat="false" ht="32.8" hidden="false" customHeight="false" outlineLevel="0" collapsed="false">
      <c r="A12" s="8" t="n">
        <v>7</v>
      </c>
      <c r="B12" s="9" t="s">
        <v>296</v>
      </c>
      <c r="C12" s="9" t="s">
        <v>297</v>
      </c>
      <c r="D12" s="9" t="s">
        <v>284</v>
      </c>
      <c r="E12" s="9" t="s">
        <v>222</v>
      </c>
      <c r="F12" s="18" t="s">
        <v>92</v>
      </c>
      <c r="G12" s="16" t="s">
        <v>138</v>
      </c>
      <c r="H12" s="12" t="s">
        <v>44</v>
      </c>
      <c r="I12" s="13" t="n">
        <v>1</v>
      </c>
      <c r="J12" s="8" t="n">
        <v>6</v>
      </c>
      <c r="K12" s="14" t="n">
        <v>400</v>
      </c>
      <c r="L12" s="14" t="n">
        <f aca="false">J12*K12</f>
        <v>2400</v>
      </c>
      <c r="M12" s="15" t="n">
        <v>500</v>
      </c>
      <c r="N12" s="15" t="n">
        <f aca="false">J12*M12</f>
        <v>3000</v>
      </c>
      <c r="O12" s="15" t="n">
        <f aca="false">N12*I12</f>
        <v>3000</v>
      </c>
      <c r="P12" s="8" t="s">
        <v>139</v>
      </c>
      <c r="Q12" s="9" t="s">
        <v>298</v>
      </c>
    </row>
    <row r="13" customFormat="false" ht="22.35" hidden="false" customHeight="false" outlineLevel="0" collapsed="false">
      <c r="A13" s="8" t="n">
        <v>8</v>
      </c>
      <c r="B13" s="9" t="s">
        <v>299</v>
      </c>
      <c r="C13" s="9" t="s">
        <v>300</v>
      </c>
      <c r="D13" s="9" t="s">
        <v>301</v>
      </c>
      <c r="E13" s="9" t="s">
        <v>294</v>
      </c>
      <c r="F13" s="18" t="s">
        <v>92</v>
      </c>
      <c r="G13" s="16" t="s">
        <v>138</v>
      </c>
      <c r="H13" s="12" t="s">
        <v>44</v>
      </c>
      <c r="I13" s="13" t="n">
        <v>1</v>
      </c>
      <c r="J13" s="8" t="n">
        <v>3</v>
      </c>
      <c r="K13" s="14" t="n">
        <v>2500</v>
      </c>
      <c r="L13" s="14" t="n">
        <f aca="false">J13*K13</f>
        <v>7500</v>
      </c>
      <c r="M13" s="15" t="n">
        <v>2200</v>
      </c>
      <c r="N13" s="15" t="n">
        <f aca="false">J13*M13</f>
        <v>6600</v>
      </c>
      <c r="O13" s="15" t="n">
        <f aca="false">N13*I13</f>
        <v>6600</v>
      </c>
      <c r="P13" s="8" t="s">
        <v>117</v>
      </c>
      <c r="Q13" s="9" t="s">
        <v>302</v>
      </c>
    </row>
    <row r="14" customFormat="false" ht="32.8" hidden="false" customHeight="false" outlineLevel="0" collapsed="false">
      <c r="A14" s="8" t="n">
        <v>9</v>
      </c>
      <c r="B14" s="9" t="s">
        <v>303</v>
      </c>
      <c r="C14" s="9" t="s">
        <v>304</v>
      </c>
      <c r="D14" s="9" t="s">
        <v>305</v>
      </c>
      <c r="E14" s="9" t="s">
        <v>172</v>
      </c>
      <c r="F14" s="18" t="s">
        <v>92</v>
      </c>
      <c r="G14" s="16" t="s">
        <v>138</v>
      </c>
      <c r="H14" s="12" t="s">
        <v>44</v>
      </c>
      <c r="I14" s="13" t="n">
        <v>1</v>
      </c>
      <c r="J14" s="8" t="n">
        <v>12</v>
      </c>
      <c r="K14" s="14" t="n">
        <v>300</v>
      </c>
      <c r="L14" s="14" t="n">
        <f aca="false">J14*K14</f>
        <v>3600</v>
      </c>
      <c r="M14" s="15" t="n">
        <v>400</v>
      </c>
      <c r="N14" s="15" t="n">
        <f aca="false">J14*M14</f>
        <v>4800</v>
      </c>
      <c r="O14" s="15" t="n">
        <f aca="false">N14*I14</f>
        <v>4800</v>
      </c>
      <c r="P14" s="8" t="s">
        <v>139</v>
      </c>
      <c r="Q14" s="9" t="s">
        <v>306</v>
      </c>
    </row>
    <row r="15" customFormat="false" ht="15" hidden="false" customHeight="false" outlineLevel="0" collapsed="false">
      <c r="B15" s="21" t="s">
        <v>264</v>
      </c>
      <c r="I15" s="22" t="n">
        <f aca="false">O15/N15</f>
        <v>1</v>
      </c>
      <c r="L15" s="23" t="n">
        <f aca="false">SUM(L5:L14)</f>
        <v>45100</v>
      </c>
      <c r="N15" s="24" t="n">
        <f aca="false">SUM(N5:N14)</f>
        <v>40880</v>
      </c>
      <c r="O15" s="24" t="n">
        <f aca="false">SUM(O5:O14)</f>
        <v>40880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307</v>
      </c>
    </row>
    <row r="2" customFormat="false" ht="15" hidden="false" customHeight="false" outlineLevel="0" collapsed="false">
      <c r="A2" s="2" t="s">
        <v>308</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309</v>
      </c>
      <c r="B4" s="7"/>
      <c r="C4" s="7"/>
      <c r="D4" s="7"/>
      <c r="E4" s="7"/>
      <c r="F4" s="7"/>
      <c r="G4" s="7"/>
      <c r="H4" s="7"/>
      <c r="I4" s="7"/>
      <c r="J4" s="7"/>
      <c r="K4" s="7"/>
      <c r="L4" s="7"/>
      <c r="M4" s="7"/>
      <c r="N4" s="7"/>
      <c r="O4" s="7"/>
      <c r="P4" s="7"/>
      <c r="Q4" s="7"/>
    </row>
    <row r="5" customFormat="false" ht="32.8" hidden="false" customHeight="false" outlineLevel="0" collapsed="false">
      <c r="A5" s="8" t="n">
        <v>1</v>
      </c>
      <c r="B5" s="9" t="s">
        <v>310</v>
      </c>
      <c r="C5" s="9" t="s">
        <v>311</v>
      </c>
      <c r="D5" s="9" t="s">
        <v>312</v>
      </c>
      <c r="E5" s="9" t="s">
        <v>313</v>
      </c>
      <c r="F5" s="18" t="s">
        <v>92</v>
      </c>
      <c r="G5" s="17" t="s">
        <v>80</v>
      </c>
      <c r="H5" s="19" t="s">
        <v>98</v>
      </c>
      <c r="I5" s="13" t="n">
        <v>0.25</v>
      </c>
      <c r="J5" s="8" t="n">
        <v>1</v>
      </c>
      <c r="K5" s="14" t="n">
        <v>2200</v>
      </c>
      <c r="L5" s="14" t="n">
        <f aca="false">J5*K5</f>
        <v>2200</v>
      </c>
      <c r="M5" s="15" t="n">
        <v>105000</v>
      </c>
      <c r="N5" s="15" t="n">
        <f aca="false">J5*M5</f>
        <v>105000</v>
      </c>
      <c r="O5" s="15" t="n">
        <f aca="false">N5*I5</f>
        <v>26250</v>
      </c>
      <c r="P5" s="8" t="s">
        <v>117</v>
      </c>
      <c r="Q5" s="9" t="s">
        <v>314</v>
      </c>
    </row>
    <row r="6" customFormat="false" ht="22.35" hidden="false" customHeight="false" outlineLevel="0" collapsed="false">
      <c r="A6" s="8" t="n">
        <v>2</v>
      </c>
      <c r="B6" s="9" t="s">
        <v>315</v>
      </c>
      <c r="C6" s="9" t="s">
        <v>316</v>
      </c>
      <c r="D6" s="9" t="s">
        <v>317</v>
      </c>
      <c r="E6" s="9" t="s">
        <v>313</v>
      </c>
      <c r="F6" s="18" t="s">
        <v>92</v>
      </c>
      <c r="G6" s="17" t="s">
        <v>80</v>
      </c>
      <c r="H6" s="19" t="s">
        <v>98</v>
      </c>
      <c r="I6" s="13" t="n">
        <v>0.25</v>
      </c>
      <c r="J6" s="8" t="n">
        <v>1</v>
      </c>
      <c r="K6" s="14" t="n">
        <v>2200</v>
      </c>
      <c r="L6" s="14" t="n">
        <f aca="false">J6*K6</f>
        <v>2200</v>
      </c>
      <c r="M6" s="15" t="n">
        <v>85000</v>
      </c>
      <c r="N6" s="15" t="n">
        <f aca="false">J6*M6</f>
        <v>85000</v>
      </c>
      <c r="O6" s="15" t="n">
        <f aca="false">N6*I6</f>
        <v>21250</v>
      </c>
      <c r="P6" s="8" t="s">
        <v>117</v>
      </c>
      <c r="Q6" s="9" t="s">
        <v>318</v>
      </c>
    </row>
    <row r="7" customFormat="false" ht="32.8" hidden="false" customHeight="false" outlineLevel="0" collapsed="false">
      <c r="A7" s="8" t="n">
        <v>3</v>
      </c>
      <c r="B7" s="9" t="s">
        <v>319</v>
      </c>
      <c r="C7" s="9" t="s">
        <v>320</v>
      </c>
      <c r="D7" s="9" t="s">
        <v>321</v>
      </c>
      <c r="E7" s="9" t="s">
        <v>322</v>
      </c>
      <c r="F7" s="18" t="s">
        <v>92</v>
      </c>
      <c r="G7" s="16" t="s">
        <v>138</v>
      </c>
      <c r="H7" s="19" t="s">
        <v>98</v>
      </c>
      <c r="I7" s="13" t="n">
        <v>0.5</v>
      </c>
      <c r="J7" s="8" t="n">
        <v>1</v>
      </c>
      <c r="K7" s="14" t="n">
        <v>1500</v>
      </c>
      <c r="L7" s="14" t="n">
        <f aca="false">J7*K7</f>
        <v>1500</v>
      </c>
      <c r="M7" s="15" t="n">
        <v>20000</v>
      </c>
      <c r="N7" s="15" t="n">
        <f aca="false">J7*M7</f>
        <v>20000</v>
      </c>
      <c r="O7" s="15" t="n">
        <f aca="false">N7*I7</f>
        <v>10000</v>
      </c>
      <c r="P7" s="8" t="s">
        <v>117</v>
      </c>
      <c r="Q7" s="9" t="s">
        <v>323</v>
      </c>
    </row>
    <row r="8" customFormat="false" ht="15" hidden="false" customHeight="false" outlineLevel="0" collapsed="false">
      <c r="A8" s="6" t="s">
        <v>324</v>
      </c>
      <c r="B8" s="7"/>
      <c r="C8" s="7"/>
      <c r="D8" s="7"/>
      <c r="E8" s="7"/>
      <c r="F8" s="7"/>
      <c r="G8" s="7"/>
      <c r="H8" s="7"/>
      <c r="I8" s="7"/>
      <c r="J8" s="7"/>
      <c r="K8" s="7"/>
      <c r="L8" s="7"/>
      <c r="M8" s="7"/>
      <c r="N8" s="7"/>
      <c r="O8" s="7"/>
      <c r="P8" s="7"/>
      <c r="Q8" s="7"/>
    </row>
    <row r="9" customFormat="false" ht="22.35" hidden="false" customHeight="false" outlineLevel="0" collapsed="false">
      <c r="A9" s="8" t="n">
        <v>4</v>
      </c>
      <c r="B9" s="9" t="s">
        <v>325</v>
      </c>
      <c r="C9" s="9" t="s">
        <v>326</v>
      </c>
      <c r="D9" s="9" t="s">
        <v>327</v>
      </c>
      <c r="E9" s="9" t="s">
        <v>328</v>
      </c>
      <c r="F9" s="10" t="s">
        <v>42</v>
      </c>
      <c r="G9" s="17" t="s">
        <v>80</v>
      </c>
      <c r="H9" s="19" t="s">
        <v>98</v>
      </c>
      <c r="I9" s="13" t="n">
        <v>0.4</v>
      </c>
      <c r="J9" s="8" t="n">
        <v>1</v>
      </c>
      <c r="K9" s="14" t="n">
        <v>450</v>
      </c>
      <c r="L9" s="14" t="n">
        <f aca="false">J9*K9</f>
        <v>450</v>
      </c>
      <c r="M9" s="15" t="n">
        <v>8000</v>
      </c>
      <c r="N9" s="15" t="n">
        <f aca="false">J9*M9</f>
        <v>8000</v>
      </c>
      <c r="O9" s="15" t="n">
        <f aca="false">N9*I9</f>
        <v>3200</v>
      </c>
      <c r="P9" s="8" t="s">
        <v>68</v>
      </c>
      <c r="Q9" s="9" t="s">
        <v>329</v>
      </c>
    </row>
    <row r="10" customFormat="false" ht="22.35" hidden="false" customHeight="false" outlineLevel="0" collapsed="false">
      <c r="A10" s="8" t="n">
        <v>5</v>
      </c>
      <c r="B10" s="9" t="s">
        <v>330</v>
      </c>
      <c r="C10" s="9" t="s">
        <v>331</v>
      </c>
      <c r="D10" s="9" t="s">
        <v>332</v>
      </c>
      <c r="E10" s="9" t="s">
        <v>238</v>
      </c>
      <c r="F10" s="18" t="s">
        <v>92</v>
      </c>
      <c r="G10" s="17" t="s">
        <v>80</v>
      </c>
      <c r="H10" s="12" t="s">
        <v>67</v>
      </c>
      <c r="I10" s="13" t="n">
        <v>0.7</v>
      </c>
      <c r="J10" s="8" t="n">
        <v>2</v>
      </c>
      <c r="K10" s="14" t="n">
        <v>320</v>
      </c>
      <c r="L10" s="14" t="n">
        <f aca="false">J10*K10</f>
        <v>640</v>
      </c>
      <c r="M10" s="15" t="n">
        <v>3800</v>
      </c>
      <c r="N10" s="15" t="n">
        <f aca="false">J10*M10</f>
        <v>7600</v>
      </c>
      <c r="O10" s="15" t="n">
        <f aca="false">N10*I10</f>
        <v>5320</v>
      </c>
      <c r="P10" s="8" t="s">
        <v>117</v>
      </c>
      <c r="Q10" s="9" t="s">
        <v>333</v>
      </c>
    </row>
    <row r="11" customFormat="false" ht="32.8" hidden="false" customHeight="false" outlineLevel="0" collapsed="false">
      <c r="A11" s="8" t="n">
        <v>6</v>
      </c>
      <c r="B11" s="9" t="s">
        <v>334</v>
      </c>
      <c r="C11" s="9" t="s">
        <v>335</v>
      </c>
      <c r="D11" s="9" t="s">
        <v>336</v>
      </c>
      <c r="E11" s="9" t="s">
        <v>337</v>
      </c>
      <c r="F11" s="18" t="s">
        <v>92</v>
      </c>
      <c r="G11" s="16" t="s">
        <v>138</v>
      </c>
      <c r="H11" s="12" t="s">
        <v>44</v>
      </c>
      <c r="I11" s="13" t="n">
        <v>1</v>
      </c>
      <c r="J11" s="8" t="n">
        <v>1</v>
      </c>
      <c r="K11" s="14" t="n">
        <v>3500</v>
      </c>
      <c r="L11" s="14" t="n">
        <f aca="false">J11*K11</f>
        <v>3500</v>
      </c>
      <c r="M11" s="15" t="n">
        <v>5500</v>
      </c>
      <c r="N11" s="15" t="n">
        <f aca="false">J11*M11</f>
        <v>5500</v>
      </c>
      <c r="O11" s="15" t="n">
        <f aca="false">N11*I11</f>
        <v>5500</v>
      </c>
      <c r="P11" s="8" t="s">
        <v>117</v>
      </c>
      <c r="Q11" s="9" t="s">
        <v>338</v>
      </c>
    </row>
    <row r="12" customFormat="false" ht="32.8" hidden="false" customHeight="false" outlineLevel="0" collapsed="false">
      <c r="A12" s="8" t="n">
        <v>7</v>
      </c>
      <c r="B12" s="9" t="s">
        <v>339</v>
      </c>
      <c r="C12" s="9" t="s">
        <v>340</v>
      </c>
      <c r="D12" s="9" t="s">
        <v>341</v>
      </c>
      <c r="E12" s="9" t="s">
        <v>342</v>
      </c>
      <c r="F12" s="10" t="s">
        <v>42</v>
      </c>
      <c r="G12" s="17" t="s">
        <v>80</v>
      </c>
      <c r="H12" s="12" t="s">
        <v>67</v>
      </c>
      <c r="I12" s="13" t="n">
        <v>0.6</v>
      </c>
      <c r="J12" s="8" t="n">
        <v>1</v>
      </c>
      <c r="K12" s="14" t="n">
        <v>600</v>
      </c>
      <c r="L12" s="14" t="n">
        <f aca="false">J12*K12</f>
        <v>600</v>
      </c>
      <c r="M12" s="15" t="n">
        <v>38000</v>
      </c>
      <c r="N12" s="15" t="n">
        <f aca="false">J12*M12</f>
        <v>38000</v>
      </c>
      <c r="O12" s="15" t="n">
        <f aca="false">N12*I12</f>
        <v>22800</v>
      </c>
      <c r="P12" s="8" t="s">
        <v>343</v>
      </c>
      <c r="Q12" s="9" t="s">
        <v>344</v>
      </c>
    </row>
    <row r="13" customFormat="false" ht="22.35" hidden="false" customHeight="false" outlineLevel="0" collapsed="false">
      <c r="A13" s="8" t="n">
        <v>8</v>
      </c>
      <c r="B13" s="9" t="s">
        <v>345</v>
      </c>
      <c r="C13" s="9" t="s">
        <v>346</v>
      </c>
      <c r="D13" s="9" t="s">
        <v>347</v>
      </c>
      <c r="E13" s="9" t="s">
        <v>337</v>
      </c>
      <c r="F13" s="18" t="s">
        <v>92</v>
      </c>
      <c r="G13" s="16" t="s">
        <v>138</v>
      </c>
      <c r="H13" s="12" t="s">
        <v>44</v>
      </c>
      <c r="I13" s="13" t="n">
        <v>1</v>
      </c>
      <c r="J13" s="8" t="n">
        <v>1</v>
      </c>
      <c r="K13" s="14" t="n">
        <v>3500</v>
      </c>
      <c r="L13" s="14" t="n">
        <f aca="false">J13*K13</f>
        <v>3500</v>
      </c>
      <c r="M13" s="15" t="n">
        <v>9500</v>
      </c>
      <c r="N13" s="15" t="n">
        <f aca="false">J13*M13</f>
        <v>9500</v>
      </c>
      <c r="O13" s="15" t="n">
        <f aca="false">N13*I13</f>
        <v>9500</v>
      </c>
      <c r="P13" s="8" t="s">
        <v>117</v>
      </c>
      <c r="Q13" s="9" t="s">
        <v>348</v>
      </c>
    </row>
    <row r="14" customFormat="false" ht="15" hidden="false" customHeight="false" outlineLevel="0" collapsed="false">
      <c r="A14" s="8" t="n">
        <v>9</v>
      </c>
      <c r="B14" s="9" t="s">
        <v>349</v>
      </c>
      <c r="C14" s="9" t="s">
        <v>350</v>
      </c>
      <c r="D14" s="9" t="s">
        <v>351</v>
      </c>
      <c r="E14" s="9" t="s">
        <v>352</v>
      </c>
      <c r="F14" s="10" t="s">
        <v>42</v>
      </c>
      <c r="G14" s="17" t="s">
        <v>80</v>
      </c>
      <c r="H14" s="19" t="s">
        <v>98</v>
      </c>
      <c r="I14" s="13" t="n">
        <v>0.4</v>
      </c>
      <c r="J14" s="8" t="n">
        <v>1</v>
      </c>
      <c r="K14" s="14" t="n">
        <v>150</v>
      </c>
      <c r="L14" s="14" t="n">
        <f aca="false">J14*K14</f>
        <v>150</v>
      </c>
      <c r="M14" s="15" t="n">
        <v>7500</v>
      </c>
      <c r="N14" s="15" t="n">
        <f aca="false">J14*M14</f>
        <v>7500</v>
      </c>
      <c r="O14" s="15" t="n">
        <f aca="false">N14*I14</f>
        <v>3000</v>
      </c>
      <c r="P14" s="8" t="s">
        <v>81</v>
      </c>
      <c r="Q14" s="9" t="s">
        <v>353</v>
      </c>
    </row>
    <row r="15" customFormat="false" ht="15" hidden="false" customHeight="false" outlineLevel="0" collapsed="false">
      <c r="A15" s="6" t="s">
        <v>354</v>
      </c>
      <c r="B15" s="7"/>
      <c r="C15" s="7"/>
      <c r="D15" s="7"/>
      <c r="E15" s="7"/>
      <c r="F15" s="7"/>
      <c r="G15" s="7"/>
      <c r="H15" s="7"/>
      <c r="I15" s="7"/>
      <c r="J15" s="7"/>
      <c r="K15" s="7"/>
      <c r="L15" s="7"/>
      <c r="M15" s="7"/>
      <c r="N15" s="7"/>
      <c r="O15" s="7"/>
      <c r="P15" s="7"/>
      <c r="Q15" s="7"/>
    </row>
    <row r="16" customFormat="false" ht="22.35" hidden="false" customHeight="false" outlineLevel="0" collapsed="false">
      <c r="A16" s="8" t="n">
        <v>10</v>
      </c>
      <c r="B16" s="9" t="s">
        <v>355</v>
      </c>
      <c r="C16" s="9" t="s">
        <v>356</v>
      </c>
      <c r="D16" s="9" t="s">
        <v>357</v>
      </c>
      <c r="E16" s="9" t="s">
        <v>358</v>
      </c>
      <c r="F16" s="10" t="s">
        <v>42</v>
      </c>
      <c r="G16" s="17" t="s">
        <v>80</v>
      </c>
      <c r="H16" s="12" t="s">
        <v>44</v>
      </c>
      <c r="I16" s="13" t="n">
        <v>0.8</v>
      </c>
      <c r="J16" s="8" t="n">
        <v>1</v>
      </c>
      <c r="K16" s="14" t="n">
        <v>18000</v>
      </c>
      <c r="L16" s="14" t="n">
        <f aca="false">J16*K16</f>
        <v>18000</v>
      </c>
      <c r="M16" s="15" t="n">
        <v>80000</v>
      </c>
      <c r="N16" s="15" t="n">
        <f aca="false">J16*M16</f>
        <v>80000</v>
      </c>
      <c r="O16" s="15" t="n">
        <f aca="false">N16*I16</f>
        <v>64000</v>
      </c>
      <c r="P16" s="8" t="s">
        <v>117</v>
      </c>
      <c r="Q16" s="9" t="s">
        <v>359</v>
      </c>
    </row>
    <row r="17" customFormat="false" ht="15" hidden="false" customHeight="false" outlineLevel="0" collapsed="false">
      <c r="A17" s="8" t="n">
        <v>11</v>
      </c>
      <c r="B17" s="9" t="s">
        <v>360</v>
      </c>
      <c r="C17" s="9" t="s">
        <v>361</v>
      </c>
      <c r="D17" s="9" t="s">
        <v>362</v>
      </c>
      <c r="E17" s="9" t="s">
        <v>363</v>
      </c>
      <c r="F17" s="10" t="s">
        <v>42</v>
      </c>
      <c r="G17" s="16" t="s">
        <v>60</v>
      </c>
      <c r="H17" s="12" t="s">
        <v>44</v>
      </c>
      <c r="I17" s="13" t="n">
        <v>0.9</v>
      </c>
      <c r="J17" s="8" t="n">
        <v>1</v>
      </c>
      <c r="K17" s="14" t="n">
        <v>6000</v>
      </c>
      <c r="L17" s="14" t="n">
        <f aca="false">J17*K17</f>
        <v>6000</v>
      </c>
      <c r="M17" s="15" t="n">
        <v>15000</v>
      </c>
      <c r="N17" s="15" t="n">
        <f aca="false">J17*M17</f>
        <v>15000</v>
      </c>
      <c r="O17" s="15" t="n">
        <f aca="false">N17*I17</f>
        <v>13500</v>
      </c>
      <c r="P17" s="8" t="s">
        <v>117</v>
      </c>
      <c r="Q17" s="9" t="s">
        <v>364</v>
      </c>
    </row>
    <row r="18" customFormat="false" ht="32.8" hidden="false" customHeight="false" outlineLevel="0" collapsed="false">
      <c r="A18" s="8" t="n">
        <v>12</v>
      </c>
      <c r="B18" s="9" t="s">
        <v>365</v>
      </c>
      <c r="C18" s="9" t="s">
        <v>366</v>
      </c>
      <c r="D18" s="9" t="s">
        <v>367</v>
      </c>
      <c r="E18" s="9" t="s">
        <v>294</v>
      </c>
      <c r="F18" s="18" t="s">
        <v>92</v>
      </c>
      <c r="G18" s="16" t="s">
        <v>138</v>
      </c>
      <c r="H18" s="12" t="s">
        <v>44</v>
      </c>
      <c r="I18" s="13" t="n">
        <v>1</v>
      </c>
      <c r="J18" s="8" t="n">
        <v>1</v>
      </c>
      <c r="K18" s="14" t="n">
        <v>4500</v>
      </c>
      <c r="L18" s="14" t="n">
        <f aca="false">J18*K18</f>
        <v>4500</v>
      </c>
      <c r="M18" s="15" t="n">
        <v>6500</v>
      </c>
      <c r="N18" s="15" t="n">
        <f aca="false">J18*M18</f>
        <v>6500</v>
      </c>
      <c r="O18" s="15" t="n">
        <f aca="false">N18*I18</f>
        <v>6500</v>
      </c>
      <c r="P18" s="8" t="s">
        <v>117</v>
      </c>
      <c r="Q18" s="9" t="s">
        <v>368</v>
      </c>
    </row>
    <row r="19" customFormat="false" ht="22.35" hidden="false" customHeight="false" outlineLevel="0" collapsed="false">
      <c r="A19" s="8" t="n">
        <v>13</v>
      </c>
      <c r="B19" s="9" t="s">
        <v>369</v>
      </c>
      <c r="C19" s="9" t="s">
        <v>370</v>
      </c>
      <c r="D19" s="9" t="s">
        <v>371</v>
      </c>
      <c r="E19" s="9" t="s">
        <v>372</v>
      </c>
      <c r="F19" s="18" t="s">
        <v>92</v>
      </c>
      <c r="G19" s="17" t="s">
        <v>80</v>
      </c>
      <c r="H19" s="19" t="s">
        <v>98</v>
      </c>
      <c r="I19" s="13" t="n">
        <v>0.4</v>
      </c>
      <c r="J19" s="8" t="n">
        <v>1</v>
      </c>
      <c r="K19" s="14" t="n">
        <v>400</v>
      </c>
      <c r="L19" s="14" t="n">
        <f aca="false">J19*K19</f>
        <v>400</v>
      </c>
      <c r="M19" s="15" t="n">
        <v>4000</v>
      </c>
      <c r="N19" s="15" t="n">
        <f aca="false">J19*M19</f>
        <v>4000</v>
      </c>
      <c r="O19" s="15" t="n">
        <f aca="false">N19*I19</f>
        <v>1600</v>
      </c>
      <c r="P19" s="8" t="s">
        <v>139</v>
      </c>
      <c r="Q19" s="9" t="s">
        <v>373</v>
      </c>
    </row>
    <row r="20" customFormat="false" ht="22.35" hidden="false" customHeight="false" outlineLevel="0" collapsed="false">
      <c r="A20" s="8" t="n">
        <v>14</v>
      </c>
      <c r="B20" s="9" t="s">
        <v>374</v>
      </c>
      <c r="C20" s="9" t="s">
        <v>375</v>
      </c>
      <c r="D20" s="9" t="s">
        <v>376</v>
      </c>
      <c r="E20" s="9" t="s">
        <v>222</v>
      </c>
      <c r="F20" s="18" t="s">
        <v>92</v>
      </c>
      <c r="G20" s="16" t="s">
        <v>138</v>
      </c>
      <c r="H20" s="12" t="s">
        <v>44</v>
      </c>
      <c r="I20" s="13" t="n">
        <v>0.9</v>
      </c>
      <c r="J20" s="8" t="n">
        <v>1</v>
      </c>
      <c r="K20" s="14" t="n">
        <v>40000</v>
      </c>
      <c r="L20" s="14" t="n">
        <f aca="false">J20*K20</f>
        <v>40000</v>
      </c>
      <c r="M20" s="15" t="n">
        <v>24000</v>
      </c>
      <c r="N20" s="15" t="n">
        <f aca="false">J20*M20</f>
        <v>24000</v>
      </c>
      <c r="O20" s="15" t="n">
        <f aca="false">N20*I20</f>
        <v>21600</v>
      </c>
      <c r="P20" s="8" t="s">
        <v>81</v>
      </c>
      <c r="Q20" s="9" t="s">
        <v>377</v>
      </c>
    </row>
    <row r="21" customFormat="false" ht="43.25" hidden="false" customHeight="false" outlineLevel="0" collapsed="false">
      <c r="A21" s="8" t="n">
        <v>15</v>
      </c>
      <c r="B21" s="9" t="s">
        <v>378</v>
      </c>
      <c r="C21" s="9" t="s">
        <v>379</v>
      </c>
      <c r="D21" s="9" t="s">
        <v>380</v>
      </c>
      <c r="E21" s="9" t="s">
        <v>381</v>
      </c>
      <c r="F21" s="18" t="s">
        <v>92</v>
      </c>
      <c r="G21" s="16" t="s">
        <v>138</v>
      </c>
      <c r="H21" s="12" t="s">
        <v>44</v>
      </c>
      <c r="I21" s="13" t="n">
        <v>1</v>
      </c>
      <c r="J21" s="8" t="n">
        <v>1</v>
      </c>
      <c r="K21" s="14" t="n">
        <v>4500</v>
      </c>
      <c r="L21" s="14" t="n">
        <f aca="false">J21*K21</f>
        <v>4500</v>
      </c>
      <c r="M21" s="15" t="n">
        <v>18000</v>
      </c>
      <c r="N21" s="15" t="n">
        <f aca="false">J21*M21</f>
        <v>18000</v>
      </c>
      <c r="O21" s="15" t="n">
        <f aca="false">N21*I21</f>
        <v>18000</v>
      </c>
      <c r="P21" s="8" t="s">
        <v>139</v>
      </c>
      <c r="Q21" s="9" t="s">
        <v>382</v>
      </c>
    </row>
    <row r="22" customFormat="false" ht="22.35" hidden="false" customHeight="false" outlineLevel="0" collapsed="false">
      <c r="A22" s="8" t="n">
        <v>16</v>
      </c>
      <c r="B22" s="9" t="s">
        <v>383</v>
      </c>
      <c r="C22" s="9" t="s">
        <v>384</v>
      </c>
      <c r="D22" s="9" t="s">
        <v>385</v>
      </c>
      <c r="E22" s="9" t="s">
        <v>386</v>
      </c>
      <c r="F22" s="10" t="s">
        <v>42</v>
      </c>
      <c r="G22" s="17" t="s">
        <v>80</v>
      </c>
      <c r="H22" s="19" t="s">
        <v>98</v>
      </c>
      <c r="I22" s="13" t="n">
        <v>0.4</v>
      </c>
      <c r="J22" s="8" t="n">
        <v>1</v>
      </c>
      <c r="K22" s="14" t="n">
        <v>700</v>
      </c>
      <c r="L22" s="14" t="n">
        <f aca="false">J22*K22</f>
        <v>700</v>
      </c>
      <c r="M22" s="15" t="n">
        <v>16000</v>
      </c>
      <c r="N22" s="15" t="n">
        <f aca="false">J22*M22</f>
        <v>16000</v>
      </c>
      <c r="O22" s="15" t="n">
        <f aca="false">N22*I22</f>
        <v>6400</v>
      </c>
      <c r="P22" s="8" t="s">
        <v>117</v>
      </c>
      <c r="Q22" s="9" t="s">
        <v>387</v>
      </c>
    </row>
    <row r="23" customFormat="false" ht="15" hidden="false" customHeight="false" outlineLevel="0" collapsed="false">
      <c r="A23" s="8" t="n">
        <v>17</v>
      </c>
      <c r="B23" s="9" t="s">
        <v>388</v>
      </c>
      <c r="C23" s="9" t="s">
        <v>389</v>
      </c>
      <c r="D23" s="9" t="s">
        <v>284</v>
      </c>
      <c r="E23" s="9" t="s">
        <v>222</v>
      </c>
      <c r="F23" s="18" t="s">
        <v>92</v>
      </c>
      <c r="G23" s="16" t="s">
        <v>138</v>
      </c>
      <c r="H23" s="12" t="s">
        <v>44</v>
      </c>
      <c r="I23" s="13" t="n">
        <v>1</v>
      </c>
      <c r="J23" s="8" t="n">
        <v>1</v>
      </c>
      <c r="K23" s="14" t="n">
        <v>2000</v>
      </c>
      <c r="L23" s="14" t="n">
        <f aca="false">J23*K23</f>
        <v>2000</v>
      </c>
      <c r="M23" s="15" t="n">
        <v>1200</v>
      </c>
      <c r="N23" s="15" t="n">
        <f aca="false">J23*M23</f>
        <v>1200</v>
      </c>
      <c r="O23" s="15" t="n">
        <f aca="false">N23*I23</f>
        <v>1200</v>
      </c>
      <c r="P23" s="8" t="s">
        <v>139</v>
      </c>
      <c r="Q23" s="9" t="s">
        <v>390</v>
      </c>
    </row>
    <row r="24" customFormat="false" ht="15" hidden="false" customHeight="false" outlineLevel="0" collapsed="false">
      <c r="B24" s="21" t="s">
        <v>264</v>
      </c>
      <c r="I24" s="22" t="n">
        <f aca="false">O24/N24</f>
        <v>0.531543921916593</v>
      </c>
      <c r="L24" s="23" t="n">
        <f aca="false">SUM(L5:L23)</f>
        <v>90840</v>
      </c>
      <c r="N24" s="24" t="n">
        <f aca="false">SUM(N5:N23)</f>
        <v>450800</v>
      </c>
      <c r="O24" s="24" t="n">
        <f aca="false">SUM(O5:O23)</f>
        <v>239620</v>
      </c>
    </row>
  </sheetData>
  <hyperlinks>
    <hyperlink ref="F9" r:id="rId1" display="open"/>
    <hyperlink ref="F12" r:id="rId2" display="open"/>
    <hyperlink ref="F14" r:id="rId3" display="open"/>
    <hyperlink ref="F16" r:id="rId4" display="open"/>
    <hyperlink ref="F17" r:id="rId5" display="open"/>
    <hyperlink ref="F22" r:id="rId6"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391</v>
      </c>
    </row>
    <row r="2" customFormat="false" ht="15" hidden="false" customHeight="false" outlineLevel="0" collapsed="false">
      <c r="A2" s="2" t="s">
        <v>392</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393</v>
      </c>
      <c r="B4" s="7"/>
      <c r="C4" s="7"/>
      <c r="D4" s="7"/>
      <c r="E4" s="7"/>
      <c r="F4" s="7"/>
      <c r="G4" s="7"/>
      <c r="H4" s="7"/>
      <c r="I4" s="7"/>
      <c r="J4" s="7"/>
      <c r="K4" s="7"/>
      <c r="L4" s="7"/>
      <c r="M4" s="7"/>
      <c r="N4" s="7"/>
      <c r="O4" s="7"/>
      <c r="P4" s="7"/>
      <c r="Q4" s="7"/>
    </row>
    <row r="5" customFormat="false" ht="32.8" hidden="false" customHeight="false" outlineLevel="0" collapsed="false">
      <c r="A5" s="8" t="n">
        <v>1</v>
      </c>
      <c r="B5" s="9" t="s">
        <v>394</v>
      </c>
      <c r="C5" s="9" t="s">
        <v>395</v>
      </c>
      <c r="D5" s="9" t="s">
        <v>396</v>
      </c>
      <c r="E5" s="9" t="s">
        <v>397</v>
      </c>
      <c r="F5" s="10" t="s">
        <v>42</v>
      </c>
      <c r="G5" s="16" t="s">
        <v>138</v>
      </c>
      <c r="H5" s="12" t="s">
        <v>44</v>
      </c>
      <c r="I5" s="13" t="n">
        <v>0.85</v>
      </c>
      <c r="J5" s="8" t="n">
        <v>1</v>
      </c>
      <c r="K5" s="14" t="n">
        <v>3000</v>
      </c>
      <c r="L5" s="14" t="n">
        <f aca="false">J5*K5</f>
        <v>3000</v>
      </c>
      <c r="M5" s="15" t="n">
        <v>45000</v>
      </c>
      <c r="N5" s="15" t="n">
        <f aca="false">J5*M5</f>
        <v>45000</v>
      </c>
      <c r="O5" s="15" t="n">
        <f aca="false">N5*I5</f>
        <v>38250</v>
      </c>
      <c r="P5" s="8" t="s">
        <v>343</v>
      </c>
      <c r="Q5" s="9" t="s">
        <v>398</v>
      </c>
    </row>
    <row r="6" customFormat="false" ht="22.35" hidden="false" customHeight="false" outlineLevel="0" collapsed="false">
      <c r="A6" s="8" t="n">
        <v>2</v>
      </c>
      <c r="B6" s="9" t="s">
        <v>399</v>
      </c>
      <c r="C6" s="9" t="s">
        <v>400</v>
      </c>
      <c r="D6" s="9" t="s">
        <v>401</v>
      </c>
      <c r="E6" s="9" t="s">
        <v>402</v>
      </c>
      <c r="F6" s="10" t="s">
        <v>42</v>
      </c>
      <c r="G6" s="16" t="s">
        <v>60</v>
      </c>
      <c r="H6" s="12" t="s">
        <v>67</v>
      </c>
      <c r="I6" s="13" t="n">
        <v>0.5</v>
      </c>
      <c r="J6" s="8" t="n">
        <v>2</v>
      </c>
      <c r="K6" s="14" t="n">
        <v>180</v>
      </c>
      <c r="L6" s="14" t="n">
        <f aca="false">J6*K6</f>
        <v>360</v>
      </c>
      <c r="M6" s="15" t="n">
        <v>4000</v>
      </c>
      <c r="N6" s="15" t="n">
        <f aca="false">J6*M6</f>
        <v>8000</v>
      </c>
      <c r="O6" s="15" t="n">
        <f aca="false">N6*I6</f>
        <v>4000</v>
      </c>
      <c r="P6" s="8" t="s">
        <v>117</v>
      </c>
      <c r="Q6" s="9" t="s">
        <v>403</v>
      </c>
    </row>
    <row r="7" customFormat="false" ht="32.8" hidden="false" customHeight="false" outlineLevel="0" collapsed="false">
      <c r="A7" s="8" t="n">
        <v>3</v>
      </c>
      <c r="B7" s="9" t="s">
        <v>404</v>
      </c>
      <c r="C7" s="9" t="s">
        <v>405</v>
      </c>
      <c r="D7" s="9" t="s">
        <v>406</v>
      </c>
      <c r="E7" s="9" t="s">
        <v>407</v>
      </c>
      <c r="F7" s="10" t="s">
        <v>42</v>
      </c>
      <c r="G7" s="17" t="s">
        <v>80</v>
      </c>
      <c r="H7" s="19" t="s">
        <v>98</v>
      </c>
      <c r="I7" s="13" t="n">
        <v>0.4</v>
      </c>
      <c r="J7" s="8" t="n">
        <v>2</v>
      </c>
      <c r="K7" s="14" t="n">
        <v>1200</v>
      </c>
      <c r="L7" s="14" t="n">
        <f aca="false">J7*K7</f>
        <v>2400</v>
      </c>
      <c r="M7" s="15" t="n">
        <v>26000</v>
      </c>
      <c r="N7" s="15" t="n">
        <f aca="false">J7*M7</f>
        <v>52000</v>
      </c>
      <c r="O7" s="15" t="n">
        <f aca="false">N7*I7</f>
        <v>20800</v>
      </c>
      <c r="P7" s="8" t="s">
        <v>81</v>
      </c>
      <c r="Q7" s="9" t="s">
        <v>408</v>
      </c>
    </row>
    <row r="8" customFormat="false" ht="22.35" hidden="false" customHeight="false" outlineLevel="0" collapsed="false">
      <c r="A8" s="8" t="n">
        <v>4</v>
      </c>
      <c r="B8" s="9" t="s">
        <v>409</v>
      </c>
      <c r="C8" s="9" t="s">
        <v>410</v>
      </c>
      <c r="D8" s="9" t="s">
        <v>411</v>
      </c>
      <c r="E8" s="9" t="s">
        <v>412</v>
      </c>
      <c r="F8" s="10" t="s">
        <v>42</v>
      </c>
      <c r="G8" s="16" t="s">
        <v>60</v>
      </c>
      <c r="H8" s="12" t="s">
        <v>44</v>
      </c>
      <c r="I8" s="13" t="n">
        <v>0.8</v>
      </c>
      <c r="J8" s="8" t="n">
        <v>2</v>
      </c>
      <c r="K8" s="14" t="n">
        <v>1500</v>
      </c>
      <c r="L8" s="14" t="n">
        <f aca="false">J8*K8</f>
        <v>3000</v>
      </c>
      <c r="M8" s="15" t="n">
        <v>8000</v>
      </c>
      <c r="N8" s="15" t="n">
        <f aca="false">J8*M8</f>
        <v>16000</v>
      </c>
      <c r="O8" s="15" t="n">
        <f aca="false">N8*I8</f>
        <v>12800</v>
      </c>
      <c r="P8" s="8" t="s">
        <v>117</v>
      </c>
      <c r="Q8" s="9" t="s">
        <v>413</v>
      </c>
    </row>
    <row r="9" customFormat="false" ht="15" hidden="false" customHeight="false" outlineLevel="0" collapsed="false">
      <c r="A9" s="6" t="s">
        <v>414</v>
      </c>
      <c r="B9" s="7"/>
      <c r="C9" s="7"/>
      <c r="D9" s="7"/>
      <c r="E9" s="7"/>
      <c r="F9" s="7"/>
      <c r="G9" s="7"/>
      <c r="H9" s="7"/>
      <c r="I9" s="7"/>
      <c r="J9" s="7"/>
      <c r="K9" s="7"/>
      <c r="L9" s="7"/>
      <c r="M9" s="7"/>
      <c r="N9" s="7"/>
      <c r="O9" s="7"/>
      <c r="P9" s="7"/>
      <c r="Q9" s="7"/>
    </row>
    <row r="10" customFormat="false" ht="22.35" hidden="false" customHeight="false" outlineLevel="0" collapsed="false">
      <c r="A10" s="8" t="n">
        <v>5</v>
      </c>
      <c r="B10" s="9" t="s">
        <v>415</v>
      </c>
      <c r="C10" s="9" t="s">
        <v>416</v>
      </c>
      <c r="D10" s="9" t="s">
        <v>417</v>
      </c>
      <c r="E10" s="9" t="s">
        <v>418</v>
      </c>
      <c r="F10" s="10" t="s">
        <v>42</v>
      </c>
      <c r="G10" s="16" t="s">
        <v>60</v>
      </c>
      <c r="H10" s="12" t="s">
        <v>44</v>
      </c>
      <c r="I10" s="13" t="n">
        <v>0.9</v>
      </c>
      <c r="J10" s="8" t="n">
        <v>1</v>
      </c>
      <c r="K10" s="14" t="n">
        <v>2000</v>
      </c>
      <c r="L10" s="14" t="n">
        <f aca="false">J10*K10</f>
        <v>2000</v>
      </c>
      <c r="M10" s="15" t="n">
        <v>7000</v>
      </c>
      <c r="N10" s="15" t="n">
        <f aca="false">J10*M10</f>
        <v>7000</v>
      </c>
      <c r="O10" s="15" t="n">
        <f aca="false">N10*I10</f>
        <v>6300</v>
      </c>
      <c r="P10" s="8" t="s">
        <v>99</v>
      </c>
      <c r="Q10" s="9" t="s">
        <v>419</v>
      </c>
    </row>
    <row r="11" customFormat="false" ht="22.35" hidden="false" customHeight="false" outlineLevel="0" collapsed="false">
      <c r="A11" s="8" t="n">
        <v>6</v>
      </c>
      <c r="B11" s="9" t="s">
        <v>420</v>
      </c>
      <c r="C11" s="9" t="s">
        <v>421</v>
      </c>
      <c r="D11" s="9" t="s">
        <v>422</v>
      </c>
      <c r="E11" s="9" t="s">
        <v>423</v>
      </c>
      <c r="F11" s="10" t="s">
        <v>42</v>
      </c>
      <c r="G11" s="16" t="s">
        <v>60</v>
      </c>
      <c r="H11" s="12" t="s">
        <v>44</v>
      </c>
      <c r="I11" s="13" t="n">
        <v>0.9</v>
      </c>
      <c r="J11" s="8" t="n">
        <v>1</v>
      </c>
      <c r="K11" s="14" t="n">
        <v>400</v>
      </c>
      <c r="L11" s="14" t="n">
        <f aca="false">J11*K11</f>
        <v>400</v>
      </c>
      <c r="M11" s="15" t="n">
        <v>4000</v>
      </c>
      <c r="N11" s="15" t="n">
        <f aca="false">J11*M11</f>
        <v>4000</v>
      </c>
      <c r="O11" s="15" t="n">
        <f aca="false">N11*I11</f>
        <v>3600</v>
      </c>
      <c r="P11" s="8" t="s">
        <v>99</v>
      </c>
      <c r="Q11" s="9" t="s">
        <v>424</v>
      </c>
    </row>
    <row r="12" customFormat="false" ht="22.35" hidden="false" customHeight="false" outlineLevel="0" collapsed="false">
      <c r="A12" s="8" t="n">
        <v>7</v>
      </c>
      <c r="B12" s="9" t="s">
        <v>425</v>
      </c>
      <c r="C12" s="9" t="s">
        <v>426</v>
      </c>
      <c r="D12" s="9" t="s">
        <v>427</v>
      </c>
      <c r="E12" s="9" t="s">
        <v>428</v>
      </c>
      <c r="F12" s="10" t="s">
        <v>42</v>
      </c>
      <c r="G12" s="16" t="s">
        <v>60</v>
      </c>
      <c r="H12" s="12" t="s">
        <v>44</v>
      </c>
      <c r="I12" s="13" t="n">
        <v>0.8</v>
      </c>
      <c r="J12" s="8" t="n">
        <v>2</v>
      </c>
      <c r="K12" s="14" t="n">
        <v>300</v>
      </c>
      <c r="L12" s="14" t="n">
        <f aca="false">J12*K12</f>
        <v>600</v>
      </c>
      <c r="M12" s="15" t="n">
        <v>3200</v>
      </c>
      <c r="N12" s="15" t="n">
        <f aca="false">J12*M12</f>
        <v>6400</v>
      </c>
      <c r="O12" s="15" t="n">
        <f aca="false">N12*I12</f>
        <v>5120</v>
      </c>
      <c r="P12" s="8" t="s">
        <v>99</v>
      </c>
      <c r="Q12" s="9" t="s">
        <v>429</v>
      </c>
    </row>
    <row r="13" customFormat="false" ht="22.35" hidden="false" customHeight="false" outlineLevel="0" collapsed="false">
      <c r="A13" s="8" t="n">
        <v>8</v>
      </c>
      <c r="B13" s="9" t="s">
        <v>430</v>
      </c>
      <c r="C13" s="9" t="s">
        <v>431</v>
      </c>
      <c r="D13" s="9" t="s">
        <v>432</v>
      </c>
      <c r="E13" s="9" t="s">
        <v>433</v>
      </c>
      <c r="F13" s="10" t="s">
        <v>42</v>
      </c>
      <c r="G13" s="16" t="s">
        <v>60</v>
      </c>
      <c r="H13" s="12" t="s">
        <v>67</v>
      </c>
      <c r="I13" s="13" t="n">
        <v>0.6</v>
      </c>
      <c r="J13" s="8" t="n">
        <v>1</v>
      </c>
      <c r="K13" s="14" t="n">
        <v>400</v>
      </c>
      <c r="L13" s="14" t="n">
        <f aca="false">J13*K13</f>
        <v>400</v>
      </c>
      <c r="M13" s="15" t="n">
        <v>6500</v>
      </c>
      <c r="N13" s="15" t="n">
        <f aca="false">J13*M13</f>
        <v>6500</v>
      </c>
      <c r="O13" s="15" t="n">
        <f aca="false">N13*I13</f>
        <v>3900</v>
      </c>
      <c r="P13" s="8" t="s">
        <v>117</v>
      </c>
      <c r="Q13" s="9" t="s">
        <v>434</v>
      </c>
    </row>
    <row r="14" customFormat="false" ht="22.35" hidden="false" customHeight="false" outlineLevel="0" collapsed="false">
      <c r="A14" s="8" t="n">
        <v>9</v>
      </c>
      <c r="B14" s="9" t="s">
        <v>435</v>
      </c>
      <c r="C14" s="9" t="s">
        <v>436</v>
      </c>
      <c r="D14" s="9" t="s">
        <v>437</v>
      </c>
      <c r="E14" s="9" t="s">
        <v>438</v>
      </c>
      <c r="F14" s="18" t="s">
        <v>92</v>
      </c>
      <c r="G14" s="16" t="s">
        <v>138</v>
      </c>
      <c r="H14" s="12" t="s">
        <v>67</v>
      </c>
      <c r="I14" s="13" t="n">
        <v>0.6</v>
      </c>
      <c r="J14" s="8" t="n">
        <v>1</v>
      </c>
      <c r="K14" s="14" t="n">
        <v>600</v>
      </c>
      <c r="L14" s="14" t="n">
        <f aca="false">J14*K14</f>
        <v>600</v>
      </c>
      <c r="M14" s="15" t="n">
        <v>3000</v>
      </c>
      <c r="N14" s="15" t="n">
        <f aca="false">J14*M14</f>
        <v>3000</v>
      </c>
      <c r="O14" s="15" t="n">
        <f aca="false">N14*I14</f>
        <v>1800</v>
      </c>
      <c r="P14" s="8" t="s">
        <v>139</v>
      </c>
      <c r="Q14" s="9" t="s">
        <v>439</v>
      </c>
    </row>
    <row r="15" customFormat="false" ht="32.8" hidden="false" customHeight="false" outlineLevel="0" collapsed="false">
      <c r="A15" s="8" t="n">
        <v>10</v>
      </c>
      <c r="B15" s="9" t="s">
        <v>440</v>
      </c>
      <c r="C15" s="9" t="s">
        <v>441</v>
      </c>
      <c r="D15" s="9" t="s">
        <v>442</v>
      </c>
      <c r="E15" s="9" t="s">
        <v>443</v>
      </c>
      <c r="F15" s="18" t="s">
        <v>92</v>
      </c>
      <c r="G15" s="16" t="s">
        <v>138</v>
      </c>
      <c r="H15" s="12" t="s">
        <v>44</v>
      </c>
      <c r="I15" s="13" t="n">
        <v>1</v>
      </c>
      <c r="J15" s="8" t="n">
        <v>1</v>
      </c>
      <c r="K15" s="14" t="n">
        <v>900</v>
      </c>
      <c r="L15" s="14" t="n">
        <f aca="false">J15*K15</f>
        <v>900</v>
      </c>
      <c r="M15" s="15" t="n">
        <v>3000</v>
      </c>
      <c r="N15" s="15" t="n">
        <f aca="false">J15*M15</f>
        <v>3000</v>
      </c>
      <c r="O15" s="15" t="n">
        <f aca="false">N15*I15</f>
        <v>3000</v>
      </c>
      <c r="P15" s="8" t="s">
        <v>139</v>
      </c>
      <c r="Q15" s="9" t="s">
        <v>444</v>
      </c>
    </row>
    <row r="16" customFormat="false" ht="15" hidden="false" customHeight="false" outlineLevel="0" collapsed="false">
      <c r="A16" s="6" t="s">
        <v>445</v>
      </c>
      <c r="B16" s="7"/>
      <c r="C16" s="7"/>
      <c r="D16" s="7"/>
      <c r="E16" s="7"/>
      <c r="F16" s="7"/>
      <c r="G16" s="7"/>
      <c r="H16" s="7"/>
      <c r="I16" s="7"/>
      <c r="J16" s="7"/>
      <c r="K16" s="7"/>
      <c r="L16" s="7"/>
      <c r="M16" s="7"/>
      <c r="N16" s="7"/>
      <c r="O16" s="7"/>
      <c r="P16" s="7"/>
      <c r="Q16" s="7"/>
    </row>
    <row r="17" customFormat="false" ht="22.35" hidden="false" customHeight="false" outlineLevel="0" collapsed="false">
      <c r="A17" s="8" t="n">
        <v>11</v>
      </c>
      <c r="B17" s="9" t="s">
        <v>446</v>
      </c>
      <c r="C17" s="9" t="s">
        <v>447</v>
      </c>
      <c r="D17" s="9" t="s">
        <v>448</v>
      </c>
      <c r="E17" s="9" t="s">
        <v>449</v>
      </c>
      <c r="F17" s="10" t="s">
        <v>42</v>
      </c>
      <c r="G17" s="16" t="s">
        <v>60</v>
      </c>
      <c r="H17" s="12" t="s">
        <v>44</v>
      </c>
      <c r="I17" s="13" t="n">
        <v>0.9</v>
      </c>
      <c r="J17" s="8" t="n">
        <v>1</v>
      </c>
      <c r="K17" s="14" t="n">
        <v>2500</v>
      </c>
      <c r="L17" s="14" t="n">
        <f aca="false">J17*K17</f>
        <v>2500</v>
      </c>
      <c r="M17" s="15" t="n">
        <v>9000</v>
      </c>
      <c r="N17" s="15" t="n">
        <f aca="false">J17*M17</f>
        <v>9000</v>
      </c>
      <c r="O17" s="15" t="n">
        <f aca="false">N17*I17</f>
        <v>8100</v>
      </c>
      <c r="P17" s="8" t="s">
        <v>99</v>
      </c>
      <c r="Q17" s="9" t="s">
        <v>450</v>
      </c>
    </row>
    <row r="18" customFormat="false" ht="22.35" hidden="false" customHeight="false" outlineLevel="0" collapsed="false">
      <c r="A18" s="8" t="n">
        <v>12</v>
      </c>
      <c r="B18" s="9" t="s">
        <v>451</v>
      </c>
      <c r="C18" s="9" t="s">
        <v>452</v>
      </c>
      <c r="D18" s="9" t="s">
        <v>453</v>
      </c>
      <c r="E18" s="9" t="s">
        <v>454</v>
      </c>
      <c r="F18" s="10" t="s">
        <v>42</v>
      </c>
      <c r="G18" s="16" t="s">
        <v>60</v>
      </c>
      <c r="H18" s="12" t="s">
        <v>44</v>
      </c>
      <c r="I18" s="13" t="n">
        <v>0.8</v>
      </c>
      <c r="J18" s="8" t="n">
        <v>1</v>
      </c>
      <c r="K18" s="14" t="n">
        <v>4000</v>
      </c>
      <c r="L18" s="14" t="n">
        <f aca="false">J18*K18</f>
        <v>4000</v>
      </c>
      <c r="M18" s="15" t="n">
        <v>8500</v>
      </c>
      <c r="N18" s="15" t="n">
        <f aca="false">J18*M18</f>
        <v>8500</v>
      </c>
      <c r="O18" s="15" t="n">
        <f aca="false">N18*I18</f>
        <v>6800</v>
      </c>
      <c r="P18" s="8" t="s">
        <v>117</v>
      </c>
      <c r="Q18" s="9" t="s">
        <v>455</v>
      </c>
    </row>
    <row r="19" customFormat="false" ht="15" hidden="false" customHeight="false" outlineLevel="0" collapsed="false">
      <c r="A19" s="8" t="n">
        <v>13</v>
      </c>
      <c r="B19" s="9" t="s">
        <v>456</v>
      </c>
      <c r="C19" s="9" t="s">
        <v>457</v>
      </c>
      <c r="D19" s="9" t="s">
        <v>458</v>
      </c>
      <c r="E19" s="9" t="s">
        <v>459</v>
      </c>
      <c r="F19" s="10" t="s">
        <v>42</v>
      </c>
      <c r="G19" s="16" t="s">
        <v>60</v>
      </c>
      <c r="H19" s="12" t="s">
        <v>44</v>
      </c>
      <c r="I19" s="13" t="n">
        <v>0.8</v>
      </c>
      <c r="J19" s="8" t="n">
        <v>2</v>
      </c>
      <c r="K19" s="14" t="n">
        <v>350</v>
      </c>
      <c r="L19" s="14" t="n">
        <f aca="false">J19*K19</f>
        <v>700</v>
      </c>
      <c r="M19" s="15" t="n">
        <v>4000</v>
      </c>
      <c r="N19" s="15" t="n">
        <f aca="false">J19*M19</f>
        <v>8000</v>
      </c>
      <c r="O19" s="15" t="n">
        <f aca="false">N19*I19</f>
        <v>6400</v>
      </c>
      <c r="P19" s="8" t="s">
        <v>99</v>
      </c>
      <c r="Q19" s="9" t="s">
        <v>92</v>
      </c>
    </row>
    <row r="20" customFormat="false" ht="32.8" hidden="false" customHeight="false" outlineLevel="0" collapsed="false">
      <c r="A20" s="8" t="n">
        <v>14</v>
      </c>
      <c r="B20" s="9" t="s">
        <v>460</v>
      </c>
      <c r="C20" s="9" t="s">
        <v>461</v>
      </c>
      <c r="D20" s="9" t="s">
        <v>462</v>
      </c>
      <c r="E20" s="9" t="s">
        <v>463</v>
      </c>
      <c r="F20" s="10" t="s">
        <v>42</v>
      </c>
      <c r="G20" s="16" t="s">
        <v>60</v>
      </c>
      <c r="H20" s="12" t="s">
        <v>44</v>
      </c>
      <c r="I20" s="13" t="n">
        <v>0.8</v>
      </c>
      <c r="J20" s="8" t="n">
        <v>1</v>
      </c>
      <c r="K20" s="14" t="n">
        <v>12000</v>
      </c>
      <c r="L20" s="14" t="n">
        <f aca="false">J20*K20</f>
        <v>12000</v>
      </c>
      <c r="M20" s="15" t="n">
        <v>50000</v>
      </c>
      <c r="N20" s="15" t="n">
        <f aca="false">J20*M20</f>
        <v>50000</v>
      </c>
      <c r="O20" s="15" t="n">
        <f aca="false">N20*I20</f>
        <v>40000</v>
      </c>
      <c r="P20" s="8" t="s">
        <v>81</v>
      </c>
      <c r="Q20" s="9" t="s">
        <v>464</v>
      </c>
    </row>
    <row r="21" customFormat="false" ht="32.8" hidden="false" customHeight="false" outlineLevel="0" collapsed="false">
      <c r="A21" s="8" t="n">
        <v>15</v>
      </c>
      <c r="B21" s="9" t="s">
        <v>465</v>
      </c>
      <c r="C21" s="9" t="s">
        <v>466</v>
      </c>
      <c r="D21" s="9" t="s">
        <v>467</v>
      </c>
      <c r="E21" s="9" t="s">
        <v>468</v>
      </c>
      <c r="F21" s="10" t="s">
        <v>42</v>
      </c>
      <c r="G21" s="16" t="s">
        <v>138</v>
      </c>
      <c r="H21" s="12" t="s">
        <v>67</v>
      </c>
      <c r="I21" s="13" t="n">
        <v>0.7</v>
      </c>
      <c r="J21" s="8" t="n">
        <v>1</v>
      </c>
      <c r="K21" s="14" t="n">
        <v>4300</v>
      </c>
      <c r="L21" s="14" t="n">
        <f aca="false">J21*K21</f>
        <v>4300</v>
      </c>
      <c r="M21" s="15" t="n">
        <v>22000</v>
      </c>
      <c r="N21" s="15" t="n">
        <f aca="false">J21*M21</f>
        <v>22000</v>
      </c>
      <c r="O21" s="15" t="n">
        <f aca="false">N21*I21</f>
        <v>15400</v>
      </c>
      <c r="P21" s="8" t="s">
        <v>99</v>
      </c>
      <c r="Q21" s="9" t="s">
        <v>469</v>
      </c>
    </row>
    <row r="22" customFormat="false" ht="15" hidden="false" customHeight="false" outlineLevel="0" collapsed="false">
      <c r="A22" s="6" t="s">
        <v>470</v>
      </c>
      <c r="B22" s="7"/>
      <c r="C22" s="7"/>
      <c r="D22" s="7"/>
      <c r="E22" s="7"/>
      <c r="F22" s="7"/>
      <c r="G22" s="7"/>
      <c r="H22" s="7"/>
      <c r="I22" s="7"/>
      <c r="J22" s="7"/>
      <c r="K22" s="7"/>
      <c r="L22" s="7"/>
      <c r="M22" s="7"/>
      <c r="N22" s="7"/>
      <c r="O22" s="7"/>
      <c r="P22" s="7"/>
      <c r="Q22" s="7"/>
    </row>
    <row r="23" customFormat="false" ht="22.35" hidden="false" customHeight="false" outlineLevel="0" collapsed="false">
      <c r="A23" s="8" t="n">
        <v>16</v>
      </c>
      <c r="B23" s="9" t="s">
        <v>471</v>
      </c>
      <c r="C23" s="9" t="s">
        <v>472</v>
      </c>
      <c r="D23" s="9" t="s">
        <v>473</v>
      </c>
      <c r="E23" s="9" t="s">
        <v>474</v>
      </c>
      <c r="F23" s="18" t="s">
        <v>92</v>
      </c>
      <c r="G23" s="17" t="s">
        <v>80</v>
      </c>
      <c r="H23" s="19" t="s">
        <v>98</v>
      </c>
      <c r="I23" s="13" t="n">
        <v>0.2</v>
      </c>
      <c r="J23" s="8" t="n">
        <v>1</v>
      </c>
      <c r="K23" s="14" t="n">
        <v>0</v>
      </c>
      <c r="L23" s="14" t="n">
        <f aca="false">J23*K23</f>
        <v>0</v>
      </c>
      <c r="M23" s="15" t="n">
        <v>165000</v>
      </c>
      <c r="N23" s="15" t="n">
        <f aca="false">J23*M23</f>
        <v>165000</v>
      </c>
      <c r="O23" s="15" t="n">
        <f aca="false">N23*I23</f>
        <v>33000</v>
      </c>
      <c r="P23" s="8" t="s">
        <v>81</v>
      </c>
      <c r="Q23" s="9" t="s">
        <v>475</v>
      </c>
    </row>
    <row r="24" customFormat="false" ht="32.8" hidden="false" customHeight="false" outlineLevel="0" collapsed="false">
      <c r="A24" s="8" t="n">
        <v>17</v>
      </c>
      <c r="B24" s="9" t="s">
        <v>476</v>
      </c>
      <c r="C24" s="9" t="s">
        <v>477</v>
      </c>
      <c r="D24" s="9" t="s">
        <v>478</v>
      </c>
      <c r="E24" s="9" t="s">
        <v>479</v>
      </c>
      <c r="F24" s="10" t="s">
        <v>42</v>
      </c>
      <c r="G24" s="16" t="s">
        <v>60</v>
      </c>
      <c r="H24" s="12" t="s">
        <v>44</v>
      </c>
      <c r="I24" s="13" t="n">
        <v>0.9</v>
      </c>
      <c r="J24" s="8" t="n">
        <v>1</v>
      </c>
      <c r="K24" s="14" t="n">
        <v>0</v>
      </c>
      <c r="L24" s="14" t="n">
        <f aca="false">J24*K24</f>
        <v>0</v>
      </c>
      <c r="M24" s="15" t="n">
        <v>40000</v>
      </c>
      <c r="N24" s="15" t="n">
        <f aca="false">J24*M24</f>
        <v>40000</v>
      </c>
      <c r="O24" s="15" t="n">
        <f aca="false">N24*I24</f>
        <v>36000</v>
      </c>
      <c r="P24" s="8" t="s">
        <v>92</v>
      </c>
      <c r="Q24" s="9" t="s">
        <v>480</v>
      </c>
    </row>
    <row r="25" customFormat="false" ht="15" hidden="false" customHeight="false" outlineLevel="0" collapsed="false">
      <c r="B25" s="21" t="s">
        <v>264</v>
      </c>
      <c r="I25" s="22" t="n">
        <f aca="false">O25/N25</f>
        <v>0.54095721217468</v>
      </c>
      <c r="L25" s="23" t="n">
        <f aca="false">SUM(L5:L24)</f>
        <v>37160</v>
      </c>
      <c r="N25" s="24" t="n">
        <f aca="false">SUM(N5:N24)</f>
        <v>453400</v>
      </c>
      <c r="O25" s="24" t="n">
        <f aca="false">SUM(O5:O24)</f>
        <v>245270</v>
      </c>
    </row>
  </sheetData>
  <hyperlinks>
    <hyperlink ref="F5" r:id="rId1" display="open"/>
    <hyperlink ref="F6" r:id="rId2" display="open"/>
    <hyperlink ref="F7" r:id="rId3" display="open"/>
    <hyperlink ref="F8" r:id="rId4" display="open"/>
    <hyperlink ref="F10" r:id="rId5" display="open"/>
    <hyperlink ref="F11" r:id="rId6" display="open"/>
    <hyperlink ref="F12" r:id="rId7" display="open"/>
    <hyperlink ref="F13" r:id="rId8" display="open"/>
    <hyperlink ref="F17" r:id="rId9" display="open"/>
    <hyperlink ref="F18" r:id="rId10" display="open"/>
    <hyperlink ref="F19" r:id="rId11" display="open"/>
    <hyperlink ref="F20" r:id="rId12" display="open"/>
    <hyperlink ref="F21" r:id="rId13" display="open"/>
    <hyperlink ref="F24" r:id="rId14"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481</v>
      </c>
    </row>
    <row r="2" customFormat="false" ht="15" hidden="false" customHeight="false" outlineLevel="0" collapsed="false">
      <c r="A2" s="2" t="s">
        <v>482</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483</v>
      </c>
      <c r="B4" s="7"/>
      <c r="C4" s="7"/>
      <c r="D4" s="7"/>
      <c r="E4" s="7"/>
      <c r="F4" s="7"/>
      <c r="G4" s="7"/>
      <c r="H4" s="7"/>
      <c r="I4" s="7"/>
      <c r="J4" s="7"/>
      <c r="K4" s="7"/>
      <c r="L4" s="7"/>
      <c r="M4" s="7"/>
      <c r="N4" s="7"/>
      <c r="O4" s="7"/>
      <c r="P4" s="7"/>
      <c r="Q4" s="7"/>
    </row>
    <row r="5" customFormat="false" ht="22.35" hidden="false" customHeight="false" outlineLevel="0" collapsed="false">
      <c r="A5" s="8" t="n">
        <v>1</v>
      </c>
      <c r="B5" s="9" t="s">
        <v>484</v>
      </c>
      <c r="C5" s="9" t="s">
        <v>485</v>
      </c>
      <c r="D5" s="9" t="s">
        <v>486</v>
      </c>
      <c r="E5" s="9" t="s">
        <v>59</v>
      </c>
      <c r="F5" s="10" t="s">
        <v>42</v>
      </c>
      <c r="G5" s="11" t="s">
        <v>43</v>
      </c>
      <c r="H5" s="12" t="s">
        <v>44</v>
      </c>
      <c r="I5" s="13" t="n">
        <v>0.9</v>
      </c>
      <c r="J5" s="8" t="n">
        <v>4</v>
      </c>
      <c r="K5" s="14" t="n">
        <v>135</v>
      </c>
      <c r="L5" s="14" t="n">
        <f aca="false">J5*K5</f>
        <v>540</v>
      </c>
      <c r="M5" s="15" t="n">
        <v>9099</v>
      </c>
      <c r="N5" s="15" t="n">
        <f aca="false">J5*M5</f>
        <v>36396</v>
      </c>
      <c r="O5" s="15" t="n">
        <f aca="false">N5*I5</f>
        <v>32756.4</v>
      </c>
      <c r="P5" s="8" t="s">
        <v>45</v>
      </c>
      <c r="Q5" s="9" t="s">
        <v>487</v>
      </c>
    </row>
    <row r="6" customFormat="false" ht="22.35" hidden="false" customHeight="false" outlineLevel="0" collapsed="false">
      <c r="A6" s="8" t="n">
        <v>2</v>
      </c>
      <c r="B6" s="9" t="s">
        <v>488</v>
      </c>
      <c r="C6" s="9" t="s">
        <v>489</v>
      </c>
      <c r="D6" s="9" t="s">
        <v>486</v>
      </c>
      <c r="E6" s="9" t="s">
        <v>59</v>
      </c>
      <c r="F6" s="10" t="s">
        <v>42</v>
      </c>
      <c r="G6" s="11" t="s">
        <v>43</v>
      </c>
      <c r="H6" s="12" t="s">
        <v>44</v>
      </c>
      <c r="I6" s="13" t="n">
        <v>0.85</v>
      </c>
      <c r="J6" s="8" t="n">
        <v>4</v>
      </c>
      <c r="K6" s="14" t="n">
        <v>28</v>
      </c>
      <c r="L6" s="14" t="n">
        <f aca="false">J6*K6</f>
        <v>112</v>
      </c>
      <c r="M6" s="15" t="n">
        <v>3400</v>
      </c>
      <c r="N6" s="15" t="n">
        <f aca="false">J6*M6</f>
        <v>13600</v>
      </c>
      <c r="O6" s="15" t="n">
        <f aca="false">N6*I6</f>
        <v>11560</v>
      </c>
      <c r="P6" s="8" t="s">
        <v>45</v>
      </c>
      <c r="Q6" s="9" t="s">
        <v>490</v>
      </c>
    </row>
    <row r="7" customFormat="false" ht="22.35" hidden="false" customHeight="false" outlineLevel="0" collapsed="false">
      <c r="A7" s="8" t="n">
        <v>3</v>
      </c>
      <c r="B7" s="9" t="s">
        <v>491</v>
      </c>
      <c r="C7" s="9" t="s">
        <v>492</v>
      </c>
      <c r="D7" s="9" t="s">
        <v>486</v>
      </c>
      <c r="E7" s="9" t="s">
        <v>59</v>
      </c>
      <c r="F7" s="10" t="s">
        <v>42</v>
      </c>
      <c r="G7" s="11" t="s">
        <v>43</v>
      </c>
      <c r="H7" s="12" t="s">
        <v>44</v>
      </c>
      <c r="I7" s="13" t="n">
        <v>0.85</v>
      </c>
      <c r="J7" s="8" t="n">
        <v>12</v>
      </c>
      <c r="K7" s="14" t="n">
        <v>40</v>
      </c>
      <c r="L7" s="14" t="n">
        <f aca="false">J7*K7</f>
        <v>480</v>
      </c>
      <c r="M7" s="15" t="n">
        <v>1400</v>
      </c>
      <c r="N7" s="15" t="n">
        <f aca="false">J7*M7</f>
        <v>16800</v>
      </c>
      <c r="O7" s="15" t="n">
        <f aca="false">N7*I7</f>
        <v>14280</v>
      </c>
      <c r="P7" s="8" t="s">
        <v>45</v>
      </c>
      <c r="Q7" s="9" t="s">
        <v>493</v>
      </c>
    </row>
    <row r="8" customFormat="false" ht="22.35" hidden="false" customHeight="false" outlineLevel="0" collapsed="false">
      <c r="A8" s="8" t="n">
        <v>4</v>
      </c>
      <c r="B8" s="9" t="s">
        <v>494</v>
      </c>
      <c r="C8" s="9" t="s">
        <v>495</v>
      </c>
      <c r="D8" s="9" t="s">
        <v>496</v>
      </c>
      <c r="E8" s="9" t="s">
        <v>172</v>
      </c>
      <c r="F8" s="18" t="s">
        <v>92</v>
      </c>
      <c r="G8" s="16" t="s">
        <v>138</v>
      </c>
      <c r="H8" s="12" t="s">
        <v>67</v>
      </c>
      <c r="I8" s="13" t="n">
        <v>0.75</v>
      </c>
      <c r="J8" s="8" t="n">
        <v>4</v>
      </c>
      <c r="K8" s="14" t="n">
        <v>162</v>
      </c>
      <c r="L8" s="14" t="n">
        <f aca="false">J8*K8</f>
        <v>648</v>
      </c>
      <c r="M8" s="15" t="n">
        <v>2200</v>
      </c>
      <c r="N8" s="15" t="n">
        <f aca="false">J8*M8</f>
        <v>8800</v>
      </c>
      <c r="O8" s="15" t="n">
        <f aca="false">N8*I8</f>
        <v>6600</v>
      </c>
      <c r="P8" s="8" t="s">
        <v>117</v>
      </c>
      <c r="Q8" s="9" t="s">
        <v>497</v>
      </c>
    </row>
    <row r="9" customFormat="false" ht="32.8" hidden="false" customHeight="false" outlineLevel="0" collapsed="false">
      <c r="A9" s="8" t="n">
        <v>5</v>
      </c>
      <c r="B9" s="9" t="s">
        <v>498</v>
      </c>
      <c r="C9" s="9" t="s">
        <v>499</v>
      </c>
      <c r="D9" s="9" t="s">
        <v>486</v>
      </c>
      <c r="E9" s="9" t="s">
        <v>126</v>
      </c>
      <c r="F9" s="10" t="s">
        <v>42</v>
      </c>
      <c r="G9" s="11" t="s">
        <v>43</v>
      </c>
      <c r="H9" s="12" t="s">
        <v>67</v>
      </c>
      <c r="I9" s="13" t="n">
        <v>0.6</v>
      </c>
      <c r="J9" s="8" t="n">
        <v>1</v>
      </c>
      <c r="K9" s="14" t="n">
        <v>110</v>
      </c>
      <c r="L9" s="14" t="n">
        <f aca="false">J9*K9</f>
        <v>110</v>
      </c>
      <c r="M9" s="15" t="n">
        <v>42000</v>
      </c>
      <c r="N9" s="15" t="n">
        <f aca="false">J9*M9</f>
        <v>42000</v>
      </c>
      <c r="O9" s="15" t="n">
        <f aca="false">N9*I9</f>
        <v>25200</v>
      </c>
      <c r="P9" s="8" t="s">
        <v>68</v>
      </c>
      <c r="Q9" s="9" t="s">
        <v>500</v>
      </c>
    </row>
    <row r="10" customFormat="false" ht="15" hidden="false" customHeight="false" outlineLevel="0" collapsed="false">
      <c r="A10" s="8" t="n">
        <v>6</v>
      </c>
      <c r="B10" s="9" t="s">
        <v>501</v>
      </c>
      <c r="C10" s="9" t="s">
        <v>502</v>
      </c>
      <c r="D10" s="9" t="s">
        <v>486</v>
      </c>
      <c r="E10" s="9" t="s">
        <v>503</v>
      </c>
      <c r="F10" s="10" t="s">
        <v>42</v>
      </c>
      <c r="G10" s="17" t="s">
        <v>80</v>
      </c>
      <c r="H10" s="12" t="s">
        <v>67</v>
      </c>
      <c r="I10" s="13" t="n">
        <v>0.6</v>
      </c>
      <c r="J10" s="8" t="n">
        <v>1</v>
      </c>
      <c r="K10" s="14" t="n">
        <v>90</v>
      </c>
      <c r="L10" s="14" t="n">
        <f aca="false">J10*K10</f>
        <v>90</v>
      </c>
      <c r="M10" s="15" t="n">
        <v>18000</v>
      </c>
      <c r="N10" s="15" t="n">
        <f aca="false">J10*M10</f>
        <v>18000</v>
      </c>
      <c r="O10" s="15" t="n">
        <f aca="false">N10*I10</f>
        <v>10800</v>
      </c>
      <c r="P10" s="8" t="s">
        <v>68</v>
      </c>
      <c r="Q10" s="9" t="s">
        <v>92</v>
      </c>
    </row>
    <row r="11" customFormat="false" ht="22.35" hidden="false" customHeight="false" outlineLevel="0" collapsed="false">
      <c r="A11" s="8" t="n">
        <v>7</v>
      </c>
      <c r="B11" s="9" t="s">
        <v>504</v>
      </c>
      <c r="C11" s="9" t="s">
        <v>505</v>
      </c>
      <c r="D11" s="9" t="s">
        <v>506</v>
      </c>
      <c r="E11" s="9" t="s">
        <v>507</v>
      </c>
      <c r="F11" s="18" t="s">
        <v>92</v>
      </c>
      <c r="G11" s="17" t="s">
        <v>80</v>
      </c>
      <c r="H11" s="20" t="s">
        <v>145</v>
      </c>
      <c r="I11" s="13" t="n">
        <v>0.25</v>
      </c>
      <c r="J11" s="8" t="n">
        <v>1</v>
      </c>
      <c r="K11" s="14" t="n">
        <v>200</v>
      </c>
      <c r="L11" s="14" t="n">
        <f aca="false">J11*K11</f>
        <v>200</v>
      </c>
      <c r="M11" s="15" t="n">
        <v>55000</v>
      </c>
      <c r="N11" s="15" t="n">
        <f aca="false">J11*M11</f>
        <v>55000</v>
      </c>
      <c r="O11" s="15" t="n">
        <f aca="false">N11*I11</f>
        <v>13750</v>
      </c>
      <c r="P11" s="8" t="s">
        <v>157</v>
      </c>
      <c r="Q11" s="9" t="s">
        <v>508</v>
      </c>
    </row>
    <row r="12" customFormat="false" ht="22.35" hidden="false" customHeight="false" outlineLevel="0" collapsed="false">
      <c r="A12" s="8" t="n">
        <v>8</v>
      </c>
      <c r="B12" s="9" t="s">
        <v>509</v>
      </c>
      <c r="C12" s="9" t="s">
        <v>510</v>
      </c>
      <c r="D12" s="9" t="s">
        <v>486</v>
      </c>
      <c r="E12" s="9" t="s">
        <v>167</v>
      </c>
      <c r="F12" s="10" t="s">
        <v>42</v>
      </c>
      <c r="G12" s="17" t="s">
        <v>80</v>
      </c>
      <c r="H12" s="12" t="s">
        <v>67</v>
      </c>
      <c r="I12" s="13" t="n">
        <v>0.6</v>
      </c>
      <c r="J12" s="8" t="n">
        <v>1</v>
      </c>
      <c r="K12" s="14" t="n">
        <v>105</v>
      </c>
      <c r="L12" s="14" t="n">
        <f aca="false">J12*K12</f>
        <v>105</v>
      </c>
      <c r="M12" s="15" t="n">
        <v>16600</v>
      </c>
      <c r="N12" s="15" t="n">
        <f aca="false">J12*M12</f>
        <v>16600</v>
      </c>
      <c r="O12" s="15" t="n">
        <f aca="false">N12*I12</f>
        <v>9960</v>
      </c>
      <c r="P12" s="8" t="s">
        <v>68</v>
      </c>
      <c r="Q12" s="9" t="s">
        <v>511</v>
      </c>
    </row>
    <row r="13" customFormat="false" ht="22.35" hidden="false" customHeight="false" outlineLevel="0" collapsed="false">
      <c r="A13" s="8" t="n">
        <v>9</v>
      </c>
      <c r="B13" s="9" t="s">
        <v>512</v>
      </c>
      <c r="C13" s="9" t="s">
        <v>513</v>
      </c>
      <c r="D13" s="9" t="s">
        <v>514</v>
      </c>
      <c r="E13" s="9" t="s">
        <v>515</v>
      </c>
      <c r="F13" s="18" t="s">
        <v>92</v>
      </c>
      <c r="G13" s="17" t="s">
        <v>80</v>
      </c>
      <c r="H13" s="12" t="s">
        <v>44</v>
      </c>
      <c r="I13" s="13" t="n">
        <v>0.85</v>
      </c>
      <c r="J13" s="8" t="n">
        <v>3</v>
      </c>
      <c r="K13" s="14" t="n">
        <v>1500</v>
      </c>
      <c r="L13" s="14" t="n">
        <f aca="false">J13*K13</f>
        <v>4500</v>
      </c>
      <c r="M13" s="15" t="n">
        <v>19000</v>
      </c>
      <c r="N13" s="15" t="n">
        <f aca="false">J13*M13</f>
        <v>57000</v>
      </c>
      <c r="O13" s="15" t="n">
        <f aca="false">N13*I13</f>
        <v>48450</v>
      </c>
      <c r="P13" s="8" t="s">
        <v>81</v>
      </c>
      <c r="Q13" s="9" t="s">
        <v>92</v>
      </c>
    </row>
    <row r="14" customFormat="false" ht="32.8" hidden="false" customHeight="false" outlineLevel="0" collapsed="false">
      <c r="A14" s="8" t="n">
        <v>10</v>
      </c>
      <c r="B14" s="9" t="s">
        <v>516</v>
      </c>
      <c r="C14" s="9" t="s">
        <v>517</v>
      </c>
      <c r="D14" s="9" t="s">
        <v>518</v>
      </c>
      <c r="E14" s="9" t="s">
        <v>172</v>
      </c>
      <c r="F14" s="18" t="s">
        <v>92</v>
      </c>
      <c r="G14" s="17" t="s">
        <v>80</v>
      </c>
      <c r="H14" s="12" t="s">
        <v>67</v>
      </c>
      <c r="I14" s="13" t="n">
        <v>0.7</v>
      </c>
      <c r="J14" s="8" t="n">
        <v>1</v>
      </c>
      <c r="K14" s="14" t="n">
        <v>5520</v>
      </c>
      <c r="L14" s="14" t="n">
        <f aca="false">J14*K14</f>
        <v>5520</v>
      </c>
      <c r="M14" s="15" t="n">
        <v>150000</v>
      </c>
      <c r="N14" s="15" t="n">
        <f aca="false">J14*M14</f>
        <v>150000</v>
      </c>
      <c r="O14" s="15" t="n">
        <f aca="false">N14*I14</f>
        <v>105000</v>
      </c>
      <c r="P14" s="8" t="s">
        <v>519</v>
      </c>
      <c r="Q14" s="9" t="s">
        <v>520</v>
      </c>
    </row>
    <row r="15" customFormat="false" ht="15" hidden="false" customHeight="false" outlineLevel="0" collapsed="false">
      <c r="A15" s="6" t="s">
        <v>521</v>
      </c>
      <c r="B15" s="7"/>
      <c r="C15" s="7"/>
      <c r="D15" s="7"/>
      <c r="E15" s="7"/>
      <c r="F15" s="7"/>
      <c r="G15" s="7"/>
      <c r="H15" s="7"/>
      <c r="I15" s="7"/>
      <c r="J15" s="7"/>
      <c r="K15" s="7"/>
      <c r="L15" s="7"/>
      <c r="M15" s="7"/>
      <c r="N15" s="7"/>
      <c r="O15" s="7"/>
      <c r="P15" s="7"/>
      <c r="Q15" s="7"/>
    </row>
    <row r="16" customFormat="false" ht="22.35" hidden="false" customHeight="false" outlineLevel="0" collapsed="false">
      <c r="A16" s="8" t="n">
        <v>11</v>
      </c>
      <c r="B16" s="9" t="s">
        <v>522</v>
      </c>
      <c r="C16" s="9" t="s">
        <v>523</v>
      </c>
      <c r="D16" s="9" t="s">
        <v>524</v>
      </c>
      <c r="E16" s="9" t="s">
        <v>525</v>
      </c>
      <c r="F16" s="10" t="s">
        <v>42</v>
      </c>
      <c r="G16" s="16" t="s">
        <v>138</v>
      </c>
      <c r="H16" s="12" t="s">
        <v>44</v>
      </c>
      <c r="I16" s="13" t="n">
        <v>0.9</v>
      </c>
      <c r="J16" s="8" t="n">
        <v>1</v>
      </c>
      <c r="K16" s="14" t="n">
        <v>450</v>
      </c>
      <c r="L16" s="14" t="n">
        <f aca="false">J16*K16</f>
        <v>450</v>
      </c>
      <c r="M16" s="15" t="n">
        <v>2500</v>
      </c>
      <c r="N16" s="15" t="n">
        <f aca="false">J16*M16</f>
        <v>2500</v>
      </c>
      <c r="O16" s="15" t="n">
        <f aca="false">N16*I16</f>
        <v>2250</v>
      </c>
      <c r="P16" s="8" t="s">
        <v>139</v>
      </c>
      <c r="Q16" s="9" t="s">
        <v>526</v>
      </c>
    </row>
    <row r="17" customFormat="false" ht="32.8" hidden="false" customHeight="false" outlineLevel="0" collapsed="false">
      <c r="A17" s="8" t="n">
        <v>12</v>
      </c>
      <c r="B17" s="9" t="s">
        <v>527</v>
      </c>
      <c r="C17" s="9" t="s">
        <v>528</v>
      </c>
      <c r="D17" s="9" t="s">
        <v>529</v>
      </c>
      <c r="E17" s="9" t="s">
        <v>222</v>
      </c>
      <c r="F17" s="18" t="s">
        <v>92</v>
      </c>
      <c r="G17" s="16" t="s">
        <v>138</v>
      </c>
      <c r="H17" s="12" t="s">
        <v>44</v>
      </c>
      <c r="I17" s="13" t="n">
        <v>0.9</v>
      </c>
      <c r="J17" s="8" t="n">
        <v>1</v>
      </c>
      <c r="K17" s="14" t="n">
        <v>1120</v>
      </c>
      <c r="L17" s="14" t="n">
        <f aca="false">J17*K17</f>
        <v>1120</v>
      </c>
      <c r="M17" s="15" t="n">
        <v>4000</v>
      </c>
      <c r="N17" s="15" t="n">
        <f aca="false">J17*M17</f>
        <v>4000</v>
      </c>
      <c r="O17" s="15" t="n">
        <f aca="false">N17*I17</f>
        <v>3600</v>
      </c>
      <c r="P17" s="8" t="s">
        <v>139</v>
      </c>
      <c r="Q17" s="9" t="s">
        <v>92</v>
      </c>
    </row>
    <row r="18" customFormat="false" ht="22.35" hidden="false" customHeight="false" outlineLevel="0" collapsed="false">
      <c r="A18" s="8" t="n">
        <v>13</v>
      </c>
      <c r="B18" s="9" t="s">
        <v>530</v>
      </c>
      <c r="C18" s="9" t="s">
        <v>531</v>
      </c>
      <c r="D18" s="9" t="s">
        <v>532</v>
      </c>
      <c r="E18" s="9" t="s">
        <v>533</v>
      </c>
      <c r="F18" s="10" t="s">
        <v>42</v>
      </c>
      <c r="G18" s="16" t="s">
        <v>60</v>
      </c>
      <c r="H18" s="12" t="s">
        <v>67</v>
      </c>
      <c r="I18" s="13" t="n">
        <v>0.5</v>
      </c>
      <c r="J18" s="8" t="n">
        <v>1</v>
      </c>
      <c r="K18" s="14" t="n">
        <v>5000</v>
      </c>
      <c r="L18" s="14" t="n">
        <f aca="false">J18*K18</f>
        <v>5000</v>
      </c>
      <c r="M18" s="15" t="n">
        <v>7500</v>
      </c>
      <c r="N18" s="15" t="n">
        <f aca="false">J18*M18</f>
        <v>7500</v>
      </c>
      <c r="O18" s="15" t="n">
        <f aca="false">N18*I18</f>
        <v>3750</v>
      </c>
      <c r="P18" s="8" t="s">
        <v>99</v>
      </c>
      <c r="Q18" s="9" t="s">
        <v>534</v>
      </c>
    </row>
    <row r="19" customFormat="false" ht="22.35" hidden="false" customHeight="false" outlineLevel="0" collapsed="false">
      <c r="A19" s="8" t="n">
        <v>14</v>
      </c>
      <c r="B19" s="9" t="s">
        <v>535</v>
      </c>
      <c r="C19" s="9" t="s">
        <v>536</v>
      </c>
      <c r="D19" s="9" t="s">
        <v>537</v>
      </c>
      <c r="E19" s="9" t="s">
        <v>538</v>
      </c>
      <c r="F19" s="10" t="s">
        <v>42</v>
      </c>
      <c r="G19" s="17" t="s">
        <v>80</v>
      </c>
      <c r="H19" s="12" t="s">
        <v>67</v>
      </c>
      <c r="I19" s="13" t="n">
        <v>0.7</v>
      </c>
      <c r="J19" s="8" t="n">
        <v>2</v>
      </c>
      <c r="K19" s="14" t="n">
        <v>900</v>
      </c>
      <c r="L19" s="14" t="n">
        <f aca="false">J19*K19</f>
        <v>1800</v>
      </c>
      <c r="M19" s="15" t="n">
        <v>6500</v>
      </c>
      <c r="N19" s="15" t="n">
        <f aca="false">J19*M19</f>
        <v>13000</v>
      </c>
      <c r="O19" s="15" t="n">
        <f aca="false">N19*I19</f>
        <v>9100</v>
      </c>
      <c r="P19" s="8" t="s">
        <v>81</v>
      </c>
      <c r="Q19" s="9" t="s">
        <v>92</v>
      </c>
    </row>
    <row r="20" customFormat="false" ht="22.35" hidden="false" customHeight="false" outlineLevel="0" collapsed="false">
      <c r="A20" s="8" t="n">
        <v>15</v>
      </c>
      <c r="B20" s="9" t="s">
        <v>539</v>
      </c>
      <c r="C20" s="9" t="s">
        <v>540</v>
      </c>
      <c r="D20" s="9" t="s">
        <v>284</v>
      </c>
      <c r="E20" s="9" t="s">
        <v>222</v>
      </c>
      <c r="F20" s="18" t="s">
        <v>92</v>
      </c>
      <c r="G20" s="16" t="s">
        <v>138</v>
      </c>
      <c r="H20" s="12" t="s">
        <v>44</v>
      </c>
      <c r="I20" s="13" t="n">
        <v>1</v>
      </c>
      <c r="J20" s="8" t="n">
        <v>1</v>
      </c>
      <c r="K20" s="14" t="n">
        <v>1800</v>
      </c>
      <c r="L20" s="14" t="n">
        <f aca="false">J20*K20</f>
        <v>1800</v>
      </c>
      <c r="M20" s="15" t="n">
        <v>3000</v>
      </c>
      <c r="N20" s="15" t="n">
        <f aca="false">J20*M20</f>
        <v>3000</v>
      </c>
      <c r="O20" s="15" t="n">
        <f aca="false">N20*I20</f>
        <v>3000</v>
      </c>
      <c r="P20" s="8" t="s">
        <v>139</v>
      </c>
      <c r="Q20" s="9" t="s">
        <v>541</v>
      </c>
    </row>
    <row r="21" customFormat="false" ht="15" hidden="false" customHeight="false" outlineLevel="0" collapsed="false">
      <c r="B21" s="21" t="s">
        <v>264</v>
      </c>
      <c r="I21" s="22" t="n">
        <f aca="false">O21/N21</f>
        <v>0.675504507019424</v>
      </c>
      <c r="L21" s="23" t="n">
        <f aca="false">SUM(L5:L20)</f>
        <v>22475</v>
      </c>
      <c r="N21" s="24" t="n">
        <f aca="false">SUM(N5:N20)</f>
        <v>444196</v>
      </c>
      <c r="O21" s="24" t="n">
        <f aca="false">SUM(O5:O20)</f>
        <v>300056.4</v>
      </c>
    </row>
  </sheetData>
  <hyperlinks>
    <hyperlink ref="F5" r:id="rId1" display="open"/>
    <hyperlink ref="F6" r:id="rId2" display="open"/>
    <hyperlink ref="F7" r:id="rId3" display="open"/>
    <hyperlink ref="F9" r:id="rId4" display="open"/>
    <hyperlink ref="F10" r:id="rId5" display="open"/>
    <hyperlink ref="F12" r:id="rId6" display="open"/>
    <hyperlink ref="F16" r:id="rId7" display="open"/>
    <hyperlink ref="F18" r:id="rId8" display="open"/>
    <hyperlink ref="F19" r:id="rId9"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3" topLeftCell="C4" activePane="bottomRight" state="frozen"/>
      <selection pane="topLeft" activeCell="A1" activeCellId="0" sqref="A1"/>
      <selection pane="topRight" activeCell="C1" activeCellId="0" sqref="C1"/>
      <selection pane="bottomLeft" activeCell="A4" activeCellId="0" sqref="A4"/>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20"/>
    <col collapsed="false" customWidth="true" hidden="false" outlineLevel="0" max="3" min="3" style="0" width="26"/>
    <col collapsed="false" customWidth="true" hidden="false" outlineLevel="0" max="4" min="4" style="0" width="52"/>
    <col collapsed="false" customWidth="true" hidden="false" outlineLevel="0" max="5" min="5" style="0" width="26"/>
    <col collapsed="false" customWidth="true" hidden="false" outlineLevel="0" max="6" min="6" style="0" width="11"/>
    <col collapsed="false" customWidth="true" hidden="false" outlineLevel="0" max="7" min="7" style="0" width="14"/>
    <col collapsed="false" customWidth="true" hidden="false" outlineLevel="0" max="8" min="8" style="0" width="5"/>
    <col collapsed="false" customWidth="true" hidden="false" outlineLevel="0" max="9" min="9" style="0" width="6"/>
    <col collapsed="false" customWidth="true" hidden="false" outlineLevel="0" max="10" min="10" style="0" width="5"/>
    <col collapsed="false" customWidth="true" hidden="false" outlineLevel="0" max="11" min="11" style="0" width="8"/>
    <col collapsed="false" customWidth="true" hidden="false" outlineLevel="0" max="12" min="12" style="0" width="9"/>
    <col collapsed="false" customWidth="true" hidden="false" outlineLevel="0" max="13" min="13" style="0" width="10"/>
    <col collapsed="false" customWidth="true" hidden="false" outlineLevel="0" max="15" min="14" style="0" width="11"/>
    <col collapsed="false" customWidth="true" hidden="false" outlineLevel="0" max="16" min="16" style="0" width="8"/>
    <col collapsed="false" customWidth="true" hidden="false" outlineLevel="0" max="17" min="17" style="0" width="50"/>
  </cols>
  <sheetData>
    <row r="1" customFormat="false" ht="17.35" hidden="false" customHeight="false" outlineLevel="0" collapsed="false">
      <c r="A1" s="1" t="s">
        <v>542</v>
      </c>
    </row>
    <row r="2" customFormat="false" ht="15" hidden="false" customHeight="false" outlineLevel="0" collapsed="false">
      <c r="A2" s="2" t="s">
        <v>543</v>
      </c>
    </row>
    <row r="3" customFormat="false" ht="33.75" hidden="false" customHeight="true" outlineLevel="0" collapsed="false">
      <c r="A3" s="5" t="s">
        <v>20</v>
      </c>
      <c r="B3" s="5" t="s">
        <v>21</v>
      </c>
      <c r="C3" s="5" t="s">
        <v>22</v>
      </c>
      <c r="D3" s="5" t="s">
        <v>23</v>
      </c>
      <c r="E3" s="5" t="s">
        <v>24</v>
      </c>
      <c r="F3" s="5" t="s">
        <v>25</v>
      </c>
      <c r="G3" s="5" t="s">
        <v>26</v>
      </c>
      <c r="H3" s="5" t="s">
        <v>27</v>
      </c>
      <c r="I3" s="5" t="s">
        <v>28</v>
      </c>
      <c r="J3" s="5" t="s">
        <v>29</v>
      </c>
      <c r="K3" s="5" t="s">
        <v>30</v>
      </c>
      <c r="L3" s="5" t="s">
        <v>31</v>
      </c>
      <c r="M3" s="5" t="s">
        <v>32</v>
      </c>
      <c r="N3" s="5" t="s">
        <v>33</v>
      </c>
      <c r="O3" s="5" t="s">
        <v>34</v>
      </c>
      <c r="P3" s="5" t="s">
        <v>35</v>
      </c>
      <c r="Q3" s="5" t="s">
        <v>36</v>
      </c>
    </row>
    <row r="4" customFormat="false" ht="15" hidden="false" customHeight="false" outlineLevel="0" collapsed="false">
      <c r="A4" s="6" t="s">
        <v>544</v>
      </c>
      <c r="B4" s="7"/>
      <c r="C4" s="7"/>
      <c r="D4" s="7"/>
      <c r="E4" s="7"/>
      <c r="F4" s="7"/>
      <c r="G4" s="7"/>
      <c r="H4" s="7"/>
      <c r="I4" s="7"/>
      <c r="J4" s="7"/>
      <c r="K4" s="7"/>
      <c r="L4" s="7"/>
      <c r="M4" s="7"/>
      <c r="N4" s="7"/>
      <c r="O4" s="7"/>
      <c r="P4" s="7"/>
      <c r="Q4" s="7"/>
    </row>
    <row r="5" customFormat="false" ht="22.35" hidden="false" customHeight="false" outlineLevel="0" collapsed="false">
      <c r="A5" s="8" t="n">
        <v>1</v>
      </c>
      <c r="B5" s="9" t="s">
        <v>545</v>
      </c>
      <c r="C5" s="9" t="s">
        <v>546</v>
      </c>
      <c r="D5" s="9" t="s">
        <v>547</v>
      </c>
      <c r="E5" s="9" t="s">
        <v>548</v>
      </c>
      <c r="F5" s="10" t="s">
        <v>42</v>
      </c>
      <c r="G5" s="11" t="s">
        <v>43</v>
      </c>
      <c r="H5" s="12" t="s">
        <v>44</v>
      </c>
      <c r="I5" s="13" t="n">
        <v>1</v>
      </c>
      <c r="J5" s="8" t="n">
        <v>1</v>
      </c>
      <c r="K5" s="14" t="n">
        <v>0</v>
      </c>
      <c r="L5" s="14" t="n">
        <f aca="false">J5*K5</f>
        <v>0</v>
      </c>
      <c r="M5" s="15" t="n">
        <v>0</v>
      </c>
      <c r="N5" s="15" t="n">
        <f aca="false">J5*M5</f>
        <v>0</v>
      </c>
      <c r="O5" s="15" t="n">
        <f aca="false">N5*I5</f>
        <v>0</v>
      </c>
      <c r="P5" s="8" t="s">
        <v>92</v>
      </c>
      <c r="Q5" s="9" t="s">
        <v>549</v>
      </c>
    </row>
    <row r="6" customFormat="false" ht="22.35" hidden="false" customHeight="false" outlineLevel="0" collapsed="false">
      <c r="A6" s="8" t="n">
        <v>2</v>
      </c>
      <c r="B6" s="9" t="s">
        <v>550</v>
      </c>
      <c r="C6" s="9" t="s">
        <v>551</v>
      </c>
      <c r="D6" s="9" t="s">
        <v>552</v>
      </c>
      <c r="E6" s="9" t="s">
        <v>553</v>
      </c>
      <c r="F6" s="10" t="s">
        <v>42</v>
      </c>
      <c r="G6" s="11" t="s">
        <v>43</v>
      </c>
      <c r="H6" s="12" t="s">
        <v>44</v>
      </c>
      <c r="I6" s="13" t="n">
        <v>1</v>
      </c>
      <c r="J6" s="8" t="n">
        <v>1</v>
      </c>
      <c r="K6" s="14" t="n">
        <v>0</v>
      </c>
      <c r="L6" s="14" t="n">
        <f aca="false">J6*K6</f>
        <v>0</v>
      </c>
      <c r="M6" s="15" t="n">
        <v>0</v>
      </c>
      <c r="N6" s="15" t="n">
        <f aca="false">J6*M6</f>
        <v>0</v>
      </c>
      <c r="O6" s="15" t="n">
        <f aca="false">N6*I6</f>
        <v>0</v>
      </c>
      <c r="P6" s="8" t="s">
        <v>92</v>
      </c>
      <c r="Q6" s="9" t="s">
        <v>554</v>
      </c>
    </row>
    <row r="7" customFormat="false" ht="22.35" hidden="false" customHeight="false" outlineLevel="0" collapsed="false">
      <c r="A7" s="8" t="n">
        <v>3</v>
      </c>
      <c r="B7" s="9" t="s">
        <v>555</v>
      </c>
      <c r="C7" s="9" t="s">
        <v>556</v>
      </c>
      <c r="D7" s="9" t="s">
        <v>552</v>
      </c>
      <c r="E7" s="9" t="s">
        <v>557</v>
      </c>
      <c r="F7" s="10" t="s">
        <v>42</v>
      </c>
      <c r="G7" s="11" t="s">
        <v>43</v>
      </c>
      <c r="H7" s="12" t="s">
        <v>44</v>
      </c>
      <c r="I7" s="13" t="n">
        <v>1</v>
      </c>
      <c r="J7" s="8" t="n">
        <v>1</v>
      </c>
      <c r="K7" s="14" t="n">
        <v>0</v>
      </c>
      <c r="L7" s="14" t="n">
        <f aca="false">J7*K7</f>
        <v>0</v>
      </c>
      <c r="M7" s="15" t="n">
        <v>0</v>
      </c>
      <c r="N7" s="15" t="n">
        <f aca="false">J7*M7</f>
        <v>0</v>
      </c>
      <c r="O7" s="15" t="n">
        <f aca="false">N7*I7</f>
        <v>0</v>
      </c>
      <c r="P7" s="8" t="s">
        <v>92</v>
      </c>
      <c r="Q7" s="9" t="s">
        <v>558</v>
      </c>
    </row>
    <row r="8" customFormat="false" ht="22.35" hidden="false" customHeight="false" outlineLevel="0" collapsed="false">
      <c r="A8" s="8" t="n">
        <v>4</v>
      </c>
      <c r="B8" s="9" t="s">
        <v>559</v>
      </c>
      <c r="C8" s="9" t="s">
        <v>560</v>
      </c>
      <c r="D8" s="9" t="s">
        <v>561</v>
      </c>
      <c r="E8" s="9" t="s">
        <v>562</v>
      </c>
      <c r="F8" s="10" t="s">
        <v>42</v>
      </c>
      <c r="G8" s="11" t="s">
        <v>43</v>
      </c>
      <c r="H8" s="12" t="s">
        <v>44</v>
      </c>
      <c r="I8" s="13" t="n">
        <v>1</v>
      </c>
      <c r="J8" s="8" t="n">
        <v>1</v>
      </c>
      <c r="K8" s="14" t="n">
        <v>0</v>
      </c>
      <c r="L8" s="14" t="n">
        <f aca="false">J8*K8</f>
        <v>0</v>
      </c>
      <c r="M8" s="15" t="n">
        <v>0</v>
      </c>
      <c r="N8" s="15" t="n">
        <f aca="false">J8*M8</f>
        <v>0</v>
      </c>
      <c r="O8" s="15" t="n">
        <f aca="false">N8*I8</f>
        <v>0</v>
      </c>
      <c r="P8" s="8" t="s">
        <v>92</v>
      </c>
      <c r="Q8" s="9" t="s">
        <v>92</v>
      </c>
    </row>
    <row r="9" customFormat="false" ht="22.35" hidden="false" customHeight="false" outlineLevel="0" collapsed="false">
      <c r="A9" s="8" t="n">
        <v>5</v>
      </c>
      <c r="B9" s="9" t="s">
        <v>563</v>
      </c>
      <c r="C9" s="9" t="s">
        <v>564</v>
      </c>
      <c r="D9" s="9" t="s">
        <v>565</v>
      </c>
      <c r="E9" s="9" t="s">
        <v>557</v>
      </c>
      <c r="F9" s="10" t="s">
        <v>42</v>
      </c>
      <c r="G9" s="11" t="s">
        <v>43</v>
      </c>
      <c r="H9" s="12" t="s">
        <v>44</v>
      </c>
      <c r="I9" s="13" t="n">
        <v>1</v>
      </c>
      <c r="J9" s="8" t="n">
        <v>1</v>
      </c>
      <c r="K9" s="14" t="n">
        <v>0</v>
      </c>
      <c r="L9" s="14" t="n">
        <f aca="false">J9*K9</f>
        <v>0</v>
      </c>
      <c r="M9" s="15" t="n">
        <v>0</v>
      </c>
      <c r="N9" s="15" t="n">
        <f aca="false">J9*M9</f>
        <v>0</v>
      </c>
      <c r="O9" s="15" t="n">
        <f aca="false">N9*I9</f>
        <v>0</v>
      </c>
      <c r="P9" s="8" t="s">
        <v>92</v>
      </c>
      <c r="Q9" s="9" t="s">
        <v>566</v>
      </c>
    </row>
    <row r="10" customFormat="false" ht="22.35" hidden="false" customHeight="false" outlineLevel="0" collapsed="false">
      <c r="A10" s="8" t="n">
        <v>6</v>
      </c>
      <c r="B10" s="9" t="s">
        <v>567</v>
      </c>
      <c r="C10" s="9" t="s">
        <v>568</v>
      </c>
      <c r="D10" s="9" t="s">
        <v>569</v>
      </c>
      <c r="E10" s="9" t="s">
        <v>570</v>
      </c>
      <c r="F10" s="18" t="s">
        <v>92</v>
      </c>
      <c r="G10" s="11" t="s">
        <v>43</v>
      </c>
      <c r="H10" s="12" t="s">
        <v>44</v>
      </c>
      <c r="I10" s="13" t="n">
        <v>1</v>
      </c>
      <c r="J10" s="8" t="n">
        <v>1</v>
      </c>
      <c r="K10" s="14" t="n">
        <v>0</v>
      </c>
      <c r="L10" s="14" t="n">
        <f aca="false">J10*K10</f>
        <v>0</v>
      </c>
      <c r="M10" s="15" t="n">
        <v>0</v>
      </c>
      <c r="N10" s="15" t="n">
        <f aca="false">J10*M10</f>
        <v>0</v>
      </c>
      <c r="O10" s="15" t="n">
        <f aca="false">N10*I10</f>
        <v>0</v>
      </c>
      <c r="P10" s="8" t="s">
        <v>92</v>
      </c>
      <c r="Q10" s="9" t="s">
        <v>92</v>
      </c>
    </row>
    <row r="11" customFormat="false" ht="22.35" hidden="false" customHeight="false" outlineLevel="0" collapsed="false">
      <c r="A11" s="8" t="n">
        <v>7</v>
      </c>
      <c r="B11" s="9" t="s">
        <v>571</v>
      </c>
      <c r="C11" s="9" t="s">
        <v>572</v>
      </c>
      <c r="D11" s="9" t="s">
        <v>573</v>
      </c>
      <c r="E11" s="9" t="s">
        <v>557</v>
      </c>
      <c r="F11" s="10" t="s">
        <v>42</v>
      </c>
      <c r="G11" s="11" t="s">
        <v>43</v>
      </c>
      <c r="H11" s="12" t="s">
        <v>44</v>
      </c>
      <c r="I11" s="13" t="n">
        <v>1</v>
      </c>
      <c r="J11" s="8" t="n">
        <v>1</v>
      </c>
      <c r="K11" s="14" t="n">
        <v>0</v>
      </c>
      <c r="L11" s="14" t="n">
        <f aca="false">J11*K11</f>
        <v>0</v>
      </c>
      <c r="M11" s="15" t="n">
        <v>0</v>
      </c>
      <c r="N11" s="15" t="n">
        <f aca="false">J11*M11</f>
        <v>0</v>
      </c>
      <c r="O11" s="15" t="n">
        <f aca="false">N11*I11</f>
        <v>0</v>
      </c>
      <c r="P11" s="8" t="s">
        <v>92</v>
      </c>
      <c r="Q11" s="9" t="s">
        <v>574</v>
      </c>
    </row>
    <row r="12" customFormat="false" ht="32.8" hidden="false" customHeight="false" outlineLevel="0" collapsed="false">
      <c r="A12" s="8" t="n">
        <v>8</v>
      </c>
      <c r="B12" s="9" t="s">
        <v>575</v>
      </c>
      <c r="C12" s="9" t="s">
        <v>576</v>
      </c>
      <c r="D12" s="9" t="s">
        <v>577</v>
      </c>
      <c r="E12" s="9" t="s">
        <v>578</v>
      </c>
      <c r="F12" s="10" t="s">
        <v>42</v>
      </c>
      <c r="G12" s="11" t="s">
        <v>43</v>
      </c>
      <c r="H12" s="12" t="s">
        <v>44</v>
      </c>
      <c r="I12" s="13" t="n">
        <v>1</v>
      </c>
      <c r="J12" s="8" t="n">
        <v>1</v>
      </c>
      <c r="K12" s="14" t="n">
        <v>0</v>
      </c>
      <c r="L12" s="14" t="n">
        <f aca="false">J12*K12</f>
        <v>0</v>
      </c>
      <c r="M12" s="15" t="n">
        <v>0</v>
      </c>
      <c r="N12" s="15" t="n">
        <f aca="false">J12*M12</f>
        <v>0</v>
      </c>
      <c r="O12" s="15" t="n">
        <f aca="false">N12*I12</f>
        <v>0</v>
      </c>
      <c r="P12" s="8" t="s">
        <v>92</v>
      </c>
      <c r="Q12" s="9" t="s">
        <v>92</v>
      </c>
    </row>
    <row r="13" customFormat="false" ht="22.35" hidden="false" customHeight="false" outlineLevel="0" collapsed="false">
      <c r="A13" s="8" t="n">
        <v>9</v>
      </c>
      <c r="B13" s="9" t="s">
        <v>579</v>
      </c>
      <c r="C13" s="9" t="s">
        <v>580</v>
      </c>
      <c r="D13" s="9" t="s">
        <v>581</v>
      </c>
      <c r="E13" s="9" t="s">
        <v>582</v>
      </c>
      <c r="F13" s="10" t="s">
        <v>42</v>
      </c>
      <c r="G13" s="16" t="s">
        <v>60</v>
      </c>
      <c r="H13" s="12" t="s">
        <v>44</v>
      </c>
      <c r="I13" s="13" t="n">
        <v>1</v>
      </c>
      <c r="J13" s="8" t="n">
        <v>1</v>
      </c>
      <c r="K13" s="14" t="n">
        <v>0</v>
      </c>
      <c r="L13" s="14" t="n">
        <f aca="false">J13*K13</f>
        <v>0</v>
      </c>
      <c r="M13" s="15" t="n">
        <v>0</v>
      </c>
      <c r="N13" s="15" t="n">
        <f aca="false">J13*M13</f>
        <v>0</v>
      </c>
      <c r="O13" s="15" t="n">
        <f aca="false">N13*I13</f>
        <v>0</v>
      </c>
      <c r="P13" s="8" t="s">
        <v>92</v>
      </c>
      <c r="Q13" s="9" t="s">
        <v>583</v>
      </c>
    </row>
    <row r="14" customFormat="false" ht="15" hidden="false" customHeight="false" outlineLevel="0" collapsed="false">
      <c r="A14" s="6" t="s">
        <v>584</v>
      </c>
      <c r="B14" s="7"/>
      <c r="C14" s="7"/>
      <c r="D14" s="7"/>
      <c r="E14" s="7"/>
      <c r="F14" s="7"/>
      <c r="G14" s="7"/>
      <c r="H14" s="7"/>
      <c r="I14" s="7"/>
      <c r="J14" s="7"/>
      <c r="K14" s="7"/>
      <c r="L14" s="7"/>
      <c r="M14" s="7"/>
      <c r="N14" s="7"/>
      <c r="O14" s="7"/>
      <c r="P14" s="7"/>
      <c r="Q14" s="7"/>
    </row>
    <row r="15" customFormat="false" ht="32.8" hidden="false" customHeight="false" outlineLevel="0" collapsed="false">
      <c r="A15" s="8" t="n">
        <v>10</v>
      </c>
      <c r="B15" s="9" t="s">
        <v>585</v>
      </c>
      <c r="C15" s="9" t="s">
        <v>586</v>
      </c>
      <c r="D15" s="9" t="s">
        <v>587</v>
      </c>
      <c r="E15" s="9" t="s">
        <v>172</v>
      </c>
      <c r="F15" s="18" t="s">
        <v>92</v>
      </c>
      <c r="G15" s="16" t="s">
        <v>138</v>
      </c>
      <c r="H15" s="12" t="s">
        <v>44</v>
      </c>
      <c r="I15" s="13" t="n">
        <v>1</v>
      </c>
      <c r="J15" s="8" t="n">
        <v>1</v>
      </c>
      <c r="K15" s="14" t="n">
        <v>0</v>
      </c>
      <c r="L15" s="14" t="n">
        <f aca="false">J15*K15</f>
        <v>0</v>
      </c>
      <c r="M15" s="15" t="n">
        <v>60000</v>
      </c>
      <c r="N15" s="15" t="n">
        <f aca="false">J15*M15</f>
        <v>60000</v>
      </c>
      <c r="O15" s="15" t="n">
        <f aca="false">N15*I15</f>
        <v>60000</v>
      </c>
      <c r="P15" s="8" t="s">
        <v>588</v>
      </c>
      <c r="Q15" s="9" t="s">
        <v>589</v>
      </c>
    </row>
    <row r="16" customFormat="false" ht="43.25" hidden="false" customHeight="false" outlineLevel="0" collapsed="false">
      <c r="A16" s="8" t="n">
        <v>11</v>
      </c>
      <c r="B16" s="9" t="s">
        <v>590</v>
      </c>
      <c r="C16" s="9" t="s">
        <v>591</v>
      </c>
      <c r="D16" s="9" t="s">
        <v>592</v>
      </c>
      <c r="E16" s="9" t="s">
        <v>593</v>
      </c>
      <c r="F16" s="10" t="s">
        <v>42</v>
      </c>
      <c r="G16" s="16" t="s">
        <v>60</v>
      </c>
      <c r="H16" s="20" t="s">
        <v>145</v>
      </c>
      <c r="I16" s="13" t="n">
        <v>0</v>
      </c>
      <c r="J16" s="8" t="n">
        <v>1</v>
      </c>
      <c r="K16" s="14" t="n">
        <v>0</v>
      </c>
      <c r="L16" s="14" t="n">
        <f aca="false">J16*K16</f>
        <v>0</v>
      </c>
      <c r="M16" s="15" t="n">
        <v>0</v>
      </c>
      <c r="N16" s="15" t="n">
        <f aca="false">J16*M16</f>
        <v>0</v>
      </c>
      <c r="O16" s="15" t="n">
        <f aca="false">N16*I16</f>
        <v>0</v>
      </c>
      <c r="P16" s="8" t="s">
        <v>594</v>
      </c>
      <c r="Q16" s="9" t="s">
        <v>595</v>
      </c>
    </row>
    <row r="17" customFormat="false" ht="15" hidden="false" customHeight="false" outlineLevel="0" collapsed="false">
      <c r="A17" s="8" t="n">
        <v>12</v>
      </c>
      <c r="B17" s="9" t="s">
        <v>596</v>
      </c>
      <c r="C17" s="9" t="s">
        <v>597</v>
      </c>
      <c r="D17" s="9" t="s">
        <v>598</v>
      </c>
      <c r="E17" s="9" t="s">
        <v>599</v>
      </c>
      <c r="F17" s="10" t="s">
        <v>42</v>
      </c>
      <c r="G17" s="11" t="s">
        <v>43</v>
      </c>
      <c r="H17" s="12" t="s">
        <v>44</v>
      </c>
      <c r="I17" s="13" t="n">
        <v>1</v>
      </c>
      <c r="J17" s="8" t="n">
        <v>1</v>
      </c>
      <c r="K17" s="14" t="n">
        <v>0</v>
      </c>
      <c r="L17" s="14" t="n">
        <f aca="false">J17*K17</f>
        <v>0</v>
      </c>
      <c r="M17" s="15" t="n">
        <v>0</v>
      </c>
      <c r="N17" s="15" t="n">
        <f aca="false">J17*M17</f>
        <v>0</v>
      </c>
      <c r="O17" s="15" t="n">
        <f aca="false">N17*I17</f>
        <v>0</v>
      </c>
      <c r="P17" s="8" t="s">
        <v>92</v>
      </c>
      <c r="Q17" s="9" t="s">
        <v>92</v>
      </c>
    </row>
    <row r="18" customFormat="false" ht="22.35" hidden="false" customHeight="false" outlineLevel="0" collapsed="false">
      <c r="A18" s="8" t="n">
        <v>13</v>
      </c>
      <c r="B18" s="9" t="s">
        <v>600</v>
      </c>
      <c r="C18" s="9" t="s">
        <v>601</v>
      </c>
      <c r="D18" s="9" t="s">
        <v>602</v>
      </c>
      <c r="E18" s="9" t="s">
        <v>603</v>
      </c>
      <c r="F18" s="10" t="s">
        <v>42</v>
      </c>
      <c r="G18" s="11" t="s">
        <v>43</v>
      </c>
      <c r="H18" s="12" t="s">
        <v>44</v>
      </c>
      <c r="I18" s="13" t="n">
        <v>1</v>
      </c>
      <c r="J18" s="8" t="n">
        <v>1</v>
      </c>
      <c r="K18" s="14" t="n">
        <v>0</v>
      </c>
      <c r="L18" s="14" t="n">
        <f aca="false">J18*K18</f>
        <v>0</v>
      </c>
      <c r="M18" s="15" t="n">
        <v>0</v>
      </c>
      <c r="N18" s="15" t="n">
        <f aca="false">J18*M18</f>
        <v>0</v>
      </c>
      <c r="O18" s="15" t="n">
        <f aca="false">N18*I18</f>
        <v>0</v>
      </c>
      <c r="P18" s="8" t="s">
        <v>139</v>
      </c>
      <c r="Q18" s="9" t="s">
        <v>604</v>
      </c>
    </row>
    <row r="19" customFormat="false" ht="15" hidden="false" customHeight="false" outlineLevel="0" collapsed="false">
      <c r="A19" s="6" t="s">
        <v>605</v>
      </c>
      <c r="B19" s="7"/>
      <c r="C19" s="7"/>
      <c r="D19" s="7"/>
      <c r="E19" s="7"/>
      <c r="F19" s="7"/>
      <c r="G19" s="7"/>
      <c r="H19" s="7"/>
      <c r="I19" s="7"/>
      <c r="J19" s="7"/>
      <c r="K19" s="7"/>
      <c r="L19" s="7"/>
      <c r="M19" s="7"/>
      <c r="N19" s="7"/>
      <c r="O19" s="7"/>
      <c r="P19" s="7"/>
      <c r="Q19" s="7"/>
    </row>
    <row r="20" customFormat="false" ht="22.35" hidden="false" customHeight="false" outlineLevel="0" collapsed="false">
      <c r="A20" s="8" t="n">
        <v>14</v>
      </c>
      <c r="B20" s="9" t="s">
        <v>606</v>
      </c>
      <c r="C20" s="9" t="s">
        <v>607</v>
      </c>
      <c r="D20" s="9" t="s">
        <v>608</v>
      </c>
      <c r="E20" s="9" t="s">
        <v>609</v>
      </c>
      <c r="F20" s="10" t="s">
        <v>42</v>
      </c>
      <c r="G20" s="11" t="s">
        <v>43</v>
      </c>
      <c r="H20" s="12" t="s">
        <v>44</v>
      </c>
      <c r="I20" s="13" t="n">
        <v>1</v>
      </c>
      <c r="J20" s="8" t="n">
        <v>1</v>
      </c>
      <c r="K20" s="14" t="n">
        <v>0</v>
      </c>
      <c r="L20" s="14" t="n">
        <f aca="false">J20*K20</f>
        <v>0</v>
      </c>
      <c r="M20" s="15" t="n">
        <v>5000</v>
      </c>
      <c r="N20" s="15" t="n">
        <f aca="false">J20*M20</f>
        <v>5000</v>
      </c>
      <c r="O20" s="15" t="n">
        <f aca="false">N20*I20</f>
        <v>5000</v>
      </c>
      <c r="P20" s="8" t="s">
        <v>594</v>
      </c>
      <c r="Q20" s="9" t="s">
        <v>610</v>
      </c>
    </row>
    <row r="21" customFormat="false" ht="32.8" hidden="false" customHeight="false" outlineLevel="0" collapsed="false">
      <c r="A21" s="8" t="n">
        <v>15</v>
      </c>
      <c r="B21" s="9" t="s">
        <v>611</v>
      </c>
      <c r="C21" s="9" t="s">
        <v>612</v>
      </c>
      <c r="D21" s="9" t="s">
        <v>613</v>
      </c>
      <c r="E21" s="9" t="s">
        <v>614</v>
      </c>
      <c r="F21" s="10" t="s">
        <v>42</v>
      </c>
      <c r="G21" s="16" t="s">
        <v>60</v>
      </c>
      <c r="H21" s="12" t="s">
        <v>44</v>
      </c>
      <c r="I21" s="13" t="n">
        <v>1</v>
      </c>
      <c r="J21" s="8" t="n">
        <v>1</v>
      </c>
      <c r="K21" s="14" t="n">
        <v>0</v>
      </c>
      <c r="L21" s="14" t="n">
        <f aca="false">J21*K21</f>
        <v>0</v>
      </c>
      <c r="M21" s="15" t="n">
        <v>10000</v>
      </c>
      <c r="N21" s="15" t="n">
        <f aca="false">J21*M21</f>
        <v>10000</v>
      </c>
      <c r="O21" s="15" t="n">
        <f aca="false">N21*I21</f>
        <v>10000</v>
      </c>
      <c r="P21" s="8" t="s">
        <v>157</v>
      </c>
      <c r="Q21" s="9" t="s">
        <v>615</v>
      </c>
    </row>
    <row r="22" customFormat="false" ht="22.35" hidden="false" customHeight="false" outlineLevel="0" collapsed="false">
      <c r="A22" s="8" t="n">
        <v>16</v>
      </c>
      <c r="B22" s="9" t="s">
        <v>616</v>
      </c>
      <c r="C22" s="9" t="s">
        <v>617</v>
      </c>
      <c r="D22" s="9" t="s">
        <v>618</v>
      </c>
      <c r="E22" s="9" t="s">
        <v>619</v>
      </c>
      <c r="F22" s="18" t="s">
        <v>92</v>
      </c>
      <c r="G22" s="17" t="s">
        <v>80</v>
      </c>
      <c r="H22" s="12" t="s">
        <v>44</v>
      </c>
      <c r="I22" s="13" t="n">
        <v>1</v>
      </c>
      <c r="J22" s="8" t="n">
        <v>1</v>
      </c>
      <c r="K22" s="14" t="n">
        <v>0</v>
      </c>
      <c r="L22" s="14" t="n">
        <f aca="false">J22*K22</f>
        <v>0</v>
      </c>
      <c r="M22" s="15" t="n">
        <v>25000</v>
      </c>
      <c r="N22" s="15" t="n">
        <f aca="false">J22*M22</f>
        <v>25000</v>
      </c>
      <c r="O22" s="15" t="n">
        <f aca="false">N22*I22</f>
        <v>25000</v>
      </c>
      <c r="P22" s="8" t="s">
        <v>81</v>
      </c>
      <c r="Q22" s="9" t="s">
        <v>620</v>
      </c>
    </row>
    <row r="23" customFormat="false" ht="15" hidden="false" customHeight="false" outlineLevel="0" collapsed="false">
      <c r="B23" s="21" t="s">
        <v>264</v>
      </c>
      <c r="I23" s="22" t="n">
        <f aca="false">O23/N23</f>
        <v>1</v>
      </c>
      <c r="L23" s="23" t="n">
        <f aca="false">SUM(L5:L22)</f>
        <v>0</v>
      </c>
      <c r="N23" s="24" t="n">
        <f aca="false">SUM(N5:N22)</f>
        <v>100000</v>
      </c>
      <c r="O23" s="24" t="n">
        <f aca="false">SUM(O5:O22)</f>
        <v>100000</v>
      </c>
    </row>
  </sheetData>
  <hyperlinks>
    <hyperlink ref="F5" r:id="rId1" display="open"/>
    <hyperlink ref="F6" r:id="rId2" display="open"/>
    <hyperlink ref="F7" r:id="rId3" display="open"/>
    <hyperlink ref="F8" r:id="rId4" display="open"/>
    <hyperlink ref="F9" r:id="rId5" display="open"/>
    <hyperlink ref="F11" r:id="rId6" display="open"/>
    <hyperlink ref="F12" r:id="rId7" display="open"/>
    <hyperlink ref="F13" r:id="rId8" display="open"/>
    <hyperlink ref="F16" r:id="rId9" display="open"/>
    <hyperlink ref="F17" r:id="rId10" display="open"/>
    <hyperlink ref="F18" r:id="rId11" display="open"/>
    <hyperlink ref="F20" r:id="rId12" display="open"/>
    <hyperlink ref="F21" r:id="rId13" display="open"/>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5" min="3" style="0" width="16"/>
    <col collapsed="false" customWidth="true" hidden="false" outlineLevel="0" max="6" min="6" style="0" width="14"/>
    <col collapsed="false" customWidth="true" hidden="false" outlineLevel="0" max="7" min="7" style="0" width="60"/>
  </cols>
  <sheetData>
    <row r="1" customFormat="false" ht="17.35" hidden="false" customHeight="false" outlineLevel="0" collapsed="false">
      <c r="A1" s="1" t="s">
        <v>621</v>
      </c>
    </row>
    <row r="2" customFormat="false" ht="15" hidden="false" customHeight="false" outlineLevel="0" collapsed="false">
      <c r="A2" s="2" t="s">
        <v>622</v>
      </c>
    </row>
    <row r="4" customFormat="false" ht="33.75" hidden="false" customHeight="true" outlineLevel="0" collapsed="false">
      <c r="A4" s="5" t="s">
        <v>20</v>
      </c>
      <c r="B4" s="5" t="s">
        <v>623</v>
      </c>
      <c r="C4" s="5" t="s">
        <v>624</v>
      </c>
      <c r="D4" s="5" t="s">
        <v>625</v>
      </c>
      <c r="E4" s="5" t="s">
        <v>626</v>
      </c>
      <c r="F4" s="5" t="s">
        <v>627</v>
      </c>
      <c r="G4" s="5" t="s">
        <v>628</v>
      </c>
    </row>
    <row r="5" customFormat="false" ht="22.35" hidden="false" customHeight="false" outlineLevel="0" collapsed="false">
      <c r="A5" s="25" t="n">
        <v>1</v>
      </c>
      <c r="B5" s="25" t="s">
        <v>629</v>
      </c>
      <c r="C5" s="26" t="n">
        <v>1032</v>
      </c>
      <c r="D5" s="27" t="n">
        <v>868</v>
      </c>
      <c r="E5" s="28"/>
      <c r="F5" s="29" t="n">
        <f aca="false">D5-C5</f>
        <v>-164</v>
      </c>
      <c r="G5" s="30" t="s">
        <v>630</v>
      </c>
    </row>
    <row r="6" customFormat="false" ht="15" hidden="false" customHeight="false" outlineLevel="0" collapsed="false">
      <c r="A6" s="25" t="n">
        <v>2</v>
      </c>
      <c r="B6" s="25" t="s">
        <v>631</v>
      </c>
      <c r="C6" s="26" t="n">
        <v>262</v>
      </c>
      <c r="D6" s="27" t="n">
        <v>322</v>
      </c>
      <c r="E6" s="28"/>
      <c r="F6" s="29" t="n">
        <f aca="false">D6-C6</f>
        <v>60</v>
      </c>
      <c r="G6" s="30" t="s">
        <v>632</v>
      </c>
    </row>
    <row r="7" customFormat="false" ht="15" hidden="false" customHeight="false" outlineLevel="0" collapsed="false">
      <c r="A7" s="25" t="n">
        <v>3</v>
      </c>
      <c r="B7" s="25" t="s">
        <v>633</v>
      </c>
      <c r="C7" s="26" t="n">
        <v>460</v>
      </c>
      <c r="D7" s="27" t="n">
        <v>462</v>
      </c>
      <c r="E7" s="28"/>
      <c r="F7" s="29" t="n">
        <f aca="false">D7-C7</f>
        <v>2</v>
      </c>
      <c r="G7" s="30" t="s">
        <v>634</v>
      </c>
    </row>
    <row r="8" customFormat="false" ht="15" hidden="false" customHeight="false" outlineLevel="0" collapsed="false">
      <c r="A8" s="25" t="n">
        <v>4</v>
      </c>
      <c r="B8" s="25" t="s">
        <v>635</v>
      </c>
      <c r="C8" s="26" t="n">
        <v>1780</v>
      </c>
      <c r="D8" s="27" t="n">
        <v>1611</v>
      </c>
      <c r="E8" s="28"/>
      <c r="F8" s="29" t="n">
        <f aca="false">D8-C8</f>
        <v>-169</v>
      </c>
      <c r="G8" s="30" t="s">
        <v>636</v>
      </c>
    </row>
    <row r="9" customFormat="false" ht="15" hidden="false" customHeight="false" outlineLevel="0" collapsed="false">
      <c r="A9" s="25" t="n">
        <v>5</v>
      </c>
      <c r="B9" s="25" t="s">
        <v>637</v>
      </c>
      <c r="C9" s="26" t="n">
        <v>1240</v>
      </c>
      <c r="D9" s="27" t="n">
        <v>1188</v>
      </c>
      <c r="E9" s="28"/>
      <c r="F9" s="29" t="n">
        <f aca="false">D9-C9</f>
        <v>-52</v>
      </c>
      <c r="G9" s="30" t="s">
        <v>638</v>
      </c>
    </row>
    <row r="10" customFormat="false" ht="15" hidden="false" customHeight="false" outlineLevel="0" collapsed="false">
      <c r="A10" s="25" t="n">
        <v>6</v>
      </c>
      <c r="B10" s="25" t="s">
        <v>639</v>
      </c>
      <c r="C10" s="26" t="n">
        <v>117</v>
      </c>
      <c r="D10" s="27" t="n">
        <v>139</v>
      </c>
      <c r="E10" s="28"/>
      <c r="F10" s="29" t="n">
        <f aca="false">D10-C10</f>
        <v>22</v>
      </c>
      <c r="G10" s="30" t="s">
        <v>640</v>
      </c>
    </row>
    <row r="11" customFormat="false" ht="15" hidden="false" customHeight="false" outlineLevel="0" collapsed="false">
      <c r="A11" s="25" t="n">
        <v>7</v>
      </c>
      <c r="B11" s="25" t="s">
        <v>641</v>
      </c>
      <c r="C11" s="26" t="n">
        <v>242</v>
      </c>
      <c r="D11" s="27" t="n">
        <v>242</v>
      </c>
      <c r="E11" s="28"/>
      <c r="F11" s="29" t="n">
        <f aca="false">D11-C11</f>
        <v>0</v>
      </c>
      <c r="G11" s="30" t="s">
        <v>642</v>
      </c>
    </row>
    <row r="12" customFormat="false" ht="15" hidden="false" customHeight="false" outlineLevel="0" collapsed="false">
      <c r="A12" s="25" t="n">
        <v>8</v>
      </c>
      <c r="B12" s="25" t="s">
        <v>643</v>
      </c>
      <c r="C12" s="26" t="n">
        <v>800</v>
      </c>
      <c r="D12" s="27" t="n">
        <v>800</v>
      </c>
      <c r="E12" s="28"/>
      <c r="F12" s="29" t="n">
        <f aca="false">D12-C12</f>
        <v>0</v>
      </c>
      <c r="G12" s="30" t="s">
        <v>644</v>
      </c>
    </row>
    <row r="14" customFormat="false" ht="15" hidden="false" customHeight="false" outlineLevel="0" collapsed="false">
      <c r="B14" s="21" t="s">
        <v>645</v>
      </c>
      <c r="D14" s="24" t="n">
        <f aca="false">SUM(D5:D12)</f>
        <v>5632</v>
      </c>
    </row>
    <row r="15" customFormat="false" ht="15" hidden="false" customHeight="false" outlineLevel="0" collapsed="false">
      <c r="B15" s="31" t="s">
        <v>646</v>
      </c>
      <c r="D15" s="32" t="n">
        <f aca="false">'01 Air Vehicle BOM'!L52</f>
        <v>5780</v>
      </c>
    </row>
    <row r="16" customFormat="false" ht="15" hidden="false" customHeight="false" outlineLevel="0" collapsed="false">
      <c r="B16" s="31" t="s">
        <v>647</v>
      </c>
      <c r="D16" s="32" t="n">
        <f aca="false">3</f>
        <v>3</v>
      </c>
    </row>
    <row r="17" customFormat="false" ht="15" hidden="false" customHeight="false" outlineLevel="0" collapsed="false">
      <c r="B17" s="21" t="s">
        <v>648</v>
      </c>
      <c r="D17" s="24" t="n">
        <f aca="false">D14*D16</f>
        <v>16896</v>
      </c>
    </row>
    <row r="18" customFormat="false" ht="15" hidden="false" customHeight="false" outlineLevel="0" collapsed="false">
      <c r="B18" s="31" t="s">
        <v>649</v>
      </c>
      <c r="D18" s="32" t="n">
        <f aca="false">25000</f>
        <v>25000</v>
      </c>
    </row>
    <row r="19" customFormat="false" ht="15" hidden="false" customHeight="false" outlineLevel="0" collapsed="false">
      <c r="B19" s="21" t="s">
        <v>650</v>
      </c>
      <c r="D19" s="24" t="n">
        <f aca="false">D18-D17</f>
        <v>8104</v>
      </c>
    </row>
    <row r="20" customFormat="false" ht="15" hidden="false" customHeight="false" outlineLevel="0" collapsed="false">
      <c r="B20" s="21" t="s">
        <v>651</v>
      </c>
      <c r="D20" s="33" t="n">
        <f aca="false">(D18-D17)/D18</f>
        <v>0.32416</v>
      </c>
    </row>
    <row r="22" customFormat="false" ht="15" hidden="false" customHeight="false" outlineLevel="0" collapsed="false">
      <c r="B22" s="21" t="s">
        <v>652</v>
      </c>
    </row>
    <row r="23" customFormat="false" ht="15" hidden="false" customHeight="false" outlineLevel="0" collapsed="false">
      <c r="B23" s="31" t="s">
        <v>52</v>
      </c>
      <c r="D23" s="31" t="s">
        <v>653</v>
      </c>
      <c r="G23" s="34" t="s">
        <v>654</v>
      </c>
    </row>
    <row r="24" customFormat="false" ht="15" hidden="false" customHeight="false" outlineLevel="0" collapsed="false">
      <c r="B24" s="31" t="s">
        <v>655</v>
      </c>
      <c r="D24" s="35" t="n">
        <v>9.4</v>
      </c>
      <c r="G24" s="34" t="s">
        <v>656</v>
      </c>
    </row>
    <row r="25" customFormat="false" ht="15" hidden="false" customHeight="false" outlineLevel="0" collapsed="false">
      <c r="B25" s="31" t="s">
        <v>657</v>
      </c>
      <c r="D25" s="35" t="n">
        <v>790</v>
      </c>
      <c r="G25" s="34" t="s">
        <v>658</v>
      </c>
    </row>
    <row r="26" customFormat="false" ht="15" hidden="false" customHeight="false" outlineLevel="0" collapsed="false">
      <c r="B26" s="31" t="s">
        <v>659</v>
      </c>
      <c r="D26" s="35" t="n">
        <v>705</v>
      </c>
      <c r="G26" s="34" t="s">
        <v>660</v>
      </c>
    </row>
    <row r="27" customFormat="false" ht="15" hidden="false" customHeight="false" outlineLevel="0" collapsed="false">
      <c r="B27" s="31" t="s">
        <v>661</v>
      </c>
      <c r="D27" s="35" t="n">
        <v>234</v>
      </c>
      <c r="G27" s="34" t="s">
        <v>662</v>
      </c>
    </row>
    <row r="28" customFormat="false" ht="15" hidden="false" customHeight="false" outlineLevel="0" collapsed="false">
      <c r="B28" s="31" t="s">
        <v>663</v>
      </c>
      <c r="D28" s="35" t="n">
        <v>17.7</v>
      </c>
      <c r="G28" s="34" t="s">
        <v>664</v>
      </c>
    </row>
    <row r="29" customFormat="false" ht="15" hidden="false" customHeight="false" outlineLevel="0" collapsed="false">
      <c r="B29" s="31" t="s">
        <v>665</v>
      </c>
      <c r="D29" s="35" t="n">
        <v>19.9</v>
      </c>
      <c r="G29" s="34" t="s">
        <v>666</v>
      </c>
    </row>
    <row r="30" customFormat="false" ht="15" hidden="false" customHeight="false" outlineLevel="0" collapsed="false">
      <c r="B30" s="31" t="s">
        <v>667</v>
      </c>
      <c r="D30" s="35" t="n">
        <v>7.7</v>
      </c>
      <c r="G30" s="34" t="s">
        <v>668</v>
      </c>
    </row>
    <row r="31" customFormat="false" ht="15" hidden="false" customHeight="false" outlineLevel="0" collapsed="false">
      <c r="B31" s="31" t="s">
        <v>669</v>
      </c>
      <c r="D31" s="35" t="n">
        <v>2.3</v>
      </c>
      <c r="G31" s="34" t="s">
        <v>670</v>
      </c>
    </row>
    <row r="32" customFormat="false" ht="15" hidden="false" customHeight="false" outlineLevel="0" collapsed="false">
      <c r="B32" s="31" t="s">
        <v>671</v>
      </c>
      <c r="D32" s="35" t="n">
        <v>1381</v>
      </c>
      <c r="G32" s="34" t="s">
        <v>672</v>
      </c>
    </row>
    <row r="33" customFormat="false" ht="15" hidden="false" customHeight="false" outlineLevel="0" collapsed="false">
      <c r="B33" s="31" t="s">
        <v>673</v>
      </c>
      <c r="D33" s="35" t="n">
        <v>3.04</v>
      </c>
      <c r="G33" s="34" t="s">
        <v>674</v>
      </c>
    </row>
    <row r="34" customFormat="false" ht="15" hidden="false" customHeight="false" outlineLevel="0" collapsed="false">
      <c r="B34" s="31" t="s">
        <v>675</v>
      </c>
      <c r="D34" s="35" t="n">
        <v>9.2</v>
      </c>
      <c r="G34" s="34" t="s">
        <v>676</v>
      </c>
    </row>
    <row r="35" customFormat="false" ht="15" hidden="false" customHeight="false" outlineLevel="0" collapsed="false">
      <c r="B35" s="31" t="s">
        <v>677</v>
      </c>
      <c r="D35" s="35" t="n">
        <v>99</v>
      </c>
      <c r="G35" s="34" t="s">
        <v>678</v>
      </c>
    </row>
    <row r="36" customFormat="false" ht="15" hidden="false" customHeight="false" outlineLevel="0" collapsed="false">
      <c r="B36" s="31" t="s">
        <v>679</v>
      </c>
      <c r="D36" s="35" t="n">
        <v>1.82</v>
      </c>
      <c r="G36" s="34" t="s">
        <v>680</v>
      </c>
    </row>
    <row r="37" customFormat="false" ht="15" hidden="false" customHeight="false" outlineLevel="0" collapsed="false">
      <c r="B37" s="31" t="s">
        <v>681</v>
      </c>
      <c r="D37" s="35" t="n">
        <v>93</v>
      </c>
      <c r="G37" s="34" t="s">
        <v>682</v>
      </c>
    </row>
    <row r="39" customFormat="false" ht="15" hidden="false" customHeight="false" outlineLevel="0" collapsed="false">
      <c r="B39" s="21" t="s">
        <v>683</v>
      </c>
    </row>
    <row r="40" customFormat="false" ht="15" hidden="false" customHeight="false" outlineLevel="0" collapsed="false">
      <c r="B40" s="36" t="s">
        <v>684</v>
      </c>
      <c r="C40" s="36"/>
      <c r="D40" s="36"/>
      <c r="E40" s="36"/>
      <c r="F40" s="36"/>
      <c r="G40" s="36"/>
    </row>
    <row r="41" customFormat="false" ht="15" hidden="false" customHeight="false" outlineLevel="0" collapsed="false">
      <c r="B41" s="36" t="s">
        <v>685</v>
      </c>
      <c r="C41" s="36"/>
      <c r="D41" s="36"/>
      <c r="E41" s="36"/>
      <c r="F41" s="36"/>
      <c r="G41" s="36"/>
    </row>
    <row r="42" customFormat="false" ht="15" hidden="false" customHeight="false" outlineLevel="0" collapsed="false">
      <c r="B42" s="36" t="s">
        <v>686</v>
      </c>
      <c r="C42" s="36"/>
      <c r="D42" s="36"/>
      <c r="E42" s="36"/>
      <c r="F42" s="36"/>
      <c r="G42" s="36"/>
    </row>
    <row r="43" customFormat="false" ht="15" hidden="false" customHeight="false" outlineLevel="0" collapsed="false">
      <c r="B43" s="36" t="s">
        <v>687</v>
      </c>
      <c r="C43" s="36"/>
      <c r="D43" s="36"/>
      <c r="E43" s="36"/>
      <c r="F43" s="36"/>
      <c r="G43" s="36"/>
    </row>
  </sheetData>
  <mergeCells count="4">
    <mergeCell ref="B40:G40"/>
    <mergeCell ref="B41:G41"/>
    <mergeCell ref="B42:G42"/>
    <mergeCell ref="B43:G4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44"/>
    <col collapsed="false" customWidth="true" hidden="false" outlineLevel="0" max="3" min="3" style="0" width="10"/>
    <col collapsed="false" customWidth="true" hidden="false" outlineLevel="0" max="6" min="4" style="0" width="16"/>
    <col collapsed="false" customWidth="true" hidden="false" outlineLevel="0" max="7" min="7" style="0" width="50"/>
  </cols>
  <sheetData>
    <row r="1" customFormat="false" ht="17.35" hidden="false" customHeight="false" outlineLevel="0" collapsed="false">
      <c r="A1" s="1" t="s">
        <v>688</v>
      </c>
    </row>
    <row r="2" customFormat="false" ht="15" hidden="false" customHeight="false" outlineLevel="0" collapsed="false">
      <c r="A2" s="2" t="s">
        <v>689</v>
      </c>
    </row>
    <row r="4" customFormat="false" ht="33.75" hidden="false" customHeight="true" outlineLevel="0" collapsed="false">
      <c r="A4" s="5" t="s">
        <v>20</v>
      </c>
      <c r="B4" s="5" t="s">
        <v>690</v>
      </c>
      <c r="C4" s="5" t="s">
        <v>691</v>
      </c>
      <c r="D4" s="5" t="s">
        <v>692</v>
      </c>
      <c r="E4" s="5" t="s">
        <v>693</v>
      </c>
      <c r="F4" s="5" t="s">
        <v>694</v>
      </c>
      <c r="G4" s="5" t="s">
        <v>628</v>
      </c>
    </row>
    <row r="5" customFormat="false" ht="15" hidden="false" customHeight="false" outlineLevel="0" collapsed="false">
      <c r="A5" s="25" t="n">
        <v>1</v>
      </c>
      <c r="B5" s="25" t="s">
        <v>695</v>
      </c>
      <c r="C5" s="37" t="n">
        <v>3</v>
      </c>
      <c r="D5" s="26" t="n">
        <f aca="false">'01 Air Vehicle BOM'!N52</f>
        <v>290546</v>
      </c>
      <c r="E5" s="26" t="n">
        <f aca="false">C5*D5</f>
        <v>871638</v>
      </c>
      <c r="F5" s="26" t="n">
        <f aca="false">C5*'01 Air Vehicle BOM'!O52</f>
        <v>508834.2</v>
      </c>
      <c r="G5" s="30" t="s">
        <v>696</v>
      </c>
    </row>
    <row r="6" customFormat="false" ht="15" hidden="false" customHeight="false" outlineLevel="0" collapsed="false">
      <c r="A6" s="25" t="n">
        <v>2</v>
      </c>
      <c r="B6" s="25" t="s">
        <v>697</v>
      </c>
      <c r="C6" s="37" t="n">
        <v>1</v>
      </c>
      <c r="D6" s="26" t="n">
        <f aca="false">'02 Payload &amp; Kits'!N15</f>
        <v>40880</v>
      </c>
      <c r="E6" s="26" t="n">
        <f aca="false">C6*D6</f>
        <v>40880</v>
      </c>
      <c r="F6" s="26" t="n">
        <f aca="false">C6*'02 Payload &amp; Kits'!O15</f>
        <v>40880</v>
      </c>
      <c r="G6" s="30" t="s">
        <v>698</v>
      </c>
    </row>
    <row r="7" customFormat="false" ht="15" hidden="false" customHeight="false" outlineLevel="0" collapsed="false">
      <c r="A7" s="25" t="n">
        <v>3</v>
      </c>
      <c r="B7" s="25" t="s">
        <v>699</v>
      </c>
      <c r="C7" s="37" t="n">
        <v>1</v>
      </c>
      <c r="D7" s="26" t="n">
        <f aca="false">'03 Ground Segment'!N24</f>
        <v>450800</v>
      </c>
      <c r="E7" s="26" t="n">
        <f aca="false">C7*D7</f>
        <v>450800</v>
      </c>
      <c r="F7" s="26" t="n">
        <f aca="false">C7*'03 Ground Segment'!O24</f>
        <v>239620</v>
      </c>
      <c r="G7" s="30" t="s">
        <v>700</v>
      </c>
    </row>
    <row r="8" customFormat="false" ht="15" hidden="false" customHeight="false" outlineLevel="0" collapsed="false">
      <c r="A8" s="25" t="n">
        <v>4</v>
      </c>
      <c r="B8" s="25" t="s">
        <v>701</v>
      </c>
      <c r="C8" s="37" t="n">
        <v>1</v>
      </c>
      <c r="D8" s="26" t="n">
        <f aca="false">'04 Test &amp; Lab Equipment'!N25</f>
        <v>453400</v>
      </c>
      <c r="E8" s="26" t="n">
        <f aca="false">C8*D8</f>
        <v>453400</v>
      </c>
      <c r="F8" s="26" t="n">
        <f aca="false">C8*'04 Test &amp; Lab Equipment'!O25</f>
        <v>245270</v>
      </c>
      <c r="G8" s="30" t="s">
        <v>702</v>
      </c>
    </row>
    <row r="9" customFormat="false" ht="15" hidden="false" customHeight="false" outlineLevel="0" collapsed="false">
      <c r="A9" s="25" t="n">
        <v>5</v>
      </c>
      <c r="B9" s="25" t="s">
        <v>703</v>
      </c>
      <c r="C9" s="37" t="n">
        <v>1</v>
      </c>
      <c r="D9" s="26" t="n">
        <f aca="false">'05 Spares &amp; Consumables'!N21</f>
        <v>444196</v>
      </c>
      <c r="E9" s="26" t="n">
        <f aca="false">C9*D9</f>
        <v>444196</v>
      </c>
      <c r="F9" s="26" t="n">
        <f aca="false">C9*'05 Spares &amp; Consumables'!O21</f>
        <v>300056.4</v>
      </c>
      <c r="G9" s="30" t="s">
        <v>704</v>
      </c>
    </row>
    <row r="10" customFormat="false" ht="15" hidden="false" customHeight="false" outlineLevel="0" collapsed="false">
      <c r="A10" s="25" t="n">
        <v>6</v>
      </c>
      <c r="B10" s="25" t="s">
        <v>705</v>
      </c>
      <c r="C10" s="37" t="n">
        <v>1</v>
      </c>
      <c r="D10" s="26" t="n">
        <f aca="false">'06 Software &amp; Data'!N23</f>
        <v>100000</v>
      </c>
      <c r="E10" s="26" t="n">
        <f aca="false">C10*D10</f>
        <v>100000</v>
      </c>
      <c r="F10" s="26" t="n">
        <f aca="false">C10*'06 Software &amp; Data'!O23</f>
        <v>100000</v>
      </c>
      <c r="G10" s="30" t="s">
        <v>706</v>
      </c>
    </row>
    <row r="12" customFormat="false" ht="15" hidden="false" customHeight="false" outlineLevel="0" collapsed="false">
      <c r="B12" s="21" t="s">
        <v>707</v>
      </c>
      <c r="E12" s="24" t="n">
        <f aca="false">SUM(E5:E10)</f>
        <v>2360914</v>
      </c>
      <c r="G12" s="34"/>
    </row>
    <row r="13" customFormat="false" ht="15" hidden="false" customHeight="false" outlineLevel="0" collapsed="false">
      <c r="B13" s="21" t="s">
        <v>708</v>
      </c>
      <c r="F13" s="24" t="n">
        <f aca="false">SUM(F5:F10)</f>
        <v>1434660.6</v>
      </c>
      <c r="G13" s="34"/>
    </row>
    <row r="14" customFormat="false" ht="22.35" hidden="false" customHeight="false" outlineLevel="0" collapsed="false">
      <c r="B14" s="21" t="s">
        <v>709</v>
      </c>
      <c r="E14" s="38" t="n">
        <f aca="false">(E12-F13)*0.22</f>
        <v>203775.748</v>
      </c>
      <c r="G14" s="34" t="s">
        <v>710</v>
      </c>
    </row>
    <row r="15" customFormat="false" ht="22.35" hidden="false" customHeight="false" outlineLevel="0" collapsed="false">
      <c r="B15" s="21" t="s">
        <v>711</v>
      </c>
      <c r="E15" s="38" t="n">
        <f aca="false">(E12+E14)*0.18</f>
        <v>461644.15464</v>
      </c>
      <c r="G15" s="34" t="s">
        <v>712</v>
      </c>
    </row>
    <row r="16" customFormat="false" ht="15" hidden="false" customHeight="false" outlineLevel="0" collapsed="false">
      <c r="B16" s="21" t="s">
        <v>713</v>
      </c>
      <c r="E16" s="38" t="n">
        <f aca="false">(E12+E14+E15)*0.2</f>
        <v>605266.780528</v>
      </c>
      <c r="G16" s="34" t="s">
        <v>714</v>
      </c>
    </row>
    <row r="17" customFormat="false" ht="15" hidden="false" customHeight="false" outlineLevel="0" collapsed="false">
      <c r="B17" s="21" t="s">
        <v>715</v>
      </c>
      <c r="E17" s="39" t="n">
        <f aca="false">E12+E14+E15+E16</f>
        <v>3631600.683168</v>
      </c>
      <c r="G17" s="34"/>
    </row>
    <row r="19" customFormat="false" ht="15" hidden="false" customHeight="false" outlineLevel="0" collapsed="false">
      <c r="B19" s="21" t="s">
        <v>716</v>
      </c>
    </row>
    <row r="20" customFormat="false" ht="15" hidden="false" customHeight="false" outlineLevel="0" collapsed="false">
      <c r="B20" s="36" t="s">
        <v>717</v>
      </c>
      <c r="C20" s="36"/>
      <c r="D20" s="36"/>
      <c r="E20" s="36"/>
      <c r="F20" s="36"/>
      <c r="G20" s="36"/>
    </row>
    <row r="21" customFormat="false" ht="15" hidden="false" customHeight="false" outlineLevel="0" collapsed="false">
      <c r="B21" s="36" t="s">
        <v>718</v>
      </c>
      <c r="C21" s="36"/>
      <c r="D21" s="36"/>
      <c r="E21" s="36"/>
      <c r="F21" s="36"/>
      <c r="G21" s="36"/>
    </row>
    <row r="22" customFormat="false" ht="15" hidden="false" customHeight="false" outlineLevel="0" collapsed="false">
      <c r="B22" s="36" t="s">
        <v>719</v>
      </c>
      <c r="C22" s="36"/>
      <c r="D22" s="36"/>
      <c r="E22" s="36"/>
      <c r="F22" s="36"/>
      <c r="G22" s="36"/>
    </row>
    <row r="23" customFormat="false" ht="15" hidden="false" customHeight="false" outlineLevel="0" collapsed="false">
      <c r="B23" s="36" t="s">
        <v>720</v>
      </c>
      <c r="C23" s="36"/>
      <c r="D23" s="36"/>
      <c r="E23" s="36"/>
      <c r="F23" s="36"/>
      <c r="G23" s="36"/>
    </row>
    <row r="24" customFormat="false" ht="15" hidden="false" customHeight="false" outlineLevel="0" collapsed="false">
      <c r="B24" s="36" t="s">
        <v>721</v>
      </c>
      <c r="C24" s="36"/>
      <c r="D24" s="36"/>
      <c r="E24" s="36"/>
      <c r="F24" s="36"/>
      <c r="G24" s="36"/>
    </row>
  </sheetData>
  <mergeCells count="5">
    <mergeCell ref="B20:G20"/>
    <mergeCell ref="B21:G21"/>
    <mergeCell ref="B22:G22"/>
    <mergeCell ref="B23:G23"/>
    <mergeCell ref="B24:G2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4" topLeftCell="C15" activePane="bottomRight" state="frozen"/>
      <selection pane="topLeft" activeCell="A1" activeCellId="0" sqref="A1"/>
      <selection pane="topRight" activeCell="C1" activeCellId="0" sqref="C1"/>
      <selection pane="bottomLeft" activeCell="A15" activeCellId="0" sqref="A15"/>
      <selection pane="bottomRight" activeCell="A1" activeCellId="0" sqref="A1"/>
    </sheetView>
  </sheetViews>
  <sheetFormatPr defaultColWidth="8.6796875" defaultRowHeight="15" zeroHeight="false" outlineLevelRow="0" outlineLevelCol="0"/>
  <cols>
    <col collapsed="false" customWidth="true" hidden="false" outlineLevel="0" max="1" min="1" style="0" width="4"/>
    <col collapsed="false" customWidth="true" hidden="false" outlineLevel="0" max="2" min="2" style="0" width="36"/>
    <col collapsed="false" customWidth="true" hidden="false" outlineLevel="0" max="4" min="3" style="0" width="16"/>
    <col collapsed="false" customWidth="true" hidden="false" outlineLevel="0" max="5" min="5" style="0" width="10"/>
    <col collapsed="false" customWidth="true" hidden="false" outlineLevel="0" max="6" min="6" style="0" width="66"/>
  </cols>
  <sheetData>
    <row r="1" customFormat="false" ht="17.35" hidden="false" customHeight="false" outlineLevel="0" collapsed="false">
      <c r="A1" s="1" t="s">
        <v>722</v>
      </c>
    </row>
    <row r="2" customFormat="false" ht="15" hidden="false" customHeight="false" outlineLevel="0" collapsed="false">
      <c r="A2" s="2" t="s">
        <v>723</v>
      </c>
    </row>
    <row r="4" customFormat="false" ht="33.75" hidden="false" customHeight="true" outlineLevel="0" collapsed="false">
      <c r="A4" s="5" t="s">
        <v>20</v>
      </c>
      <c r="B4" s="5" t="s">
        <v>690</v>
      </c>
      <c r="C4" s="5" t="s">
        <v>724</v>
      </c>
      <c r="D4" s="5" t="s">
        <v>725</v>
      </c>
      <c r="E4" s="5" t="s">
        <v>726</v>
      </c>
      <c r="F4" s="5" t="s">
        <v>727</v>
      </c>
    </row>
    <row r="5" customFormat="false" ht="22.35" hidden="false" customHeight="false" outlineLevel="0" collapsed="false">
      <c r="A5" s="25" t="n">
        <v>1</v>
      </c>
      <c r="B5" s="25" t="s">
        <v>728</v>
      </c>
      <c r="C5" s="26" t="n">
        <f aca="false">'01 Air Vehicle BOM'!N52*3</f>
        <v>871638</v>
      </c>
      <c r="D5" s="26" t="n">
        <f aca="false">'01 Air Vehicle BOM'!O52*3</f>
        <v>508834.2</v>
      </c>
      <c r="E5" s="40" t="n">
        <f aca="false">IF(C5=0,"",D5/C5)</f>
        <v>0.583767802688731</v>
      </c>
      <c r="F5" s="30" t="s">
        <v>729</v>
      </c>
    </row>
    <row r="6" customFormat="false" ht="15" hidden="false" customHeight="false" outlineLevel="0" collapsed="false">
      <c r="A6" s="25" t="n">
        <v>2</v>
      </c>
      <c r="B6" s="25" t="s">
        <v>730</v>
      </c>
      <c r="C6" s="26" t="n">
        <f aca="false">'02 Payload &amp; Kits'!N15*1</f>
        <v>40880</v>
      </c>
      <c r="D6" s="26" t="n">
        <f aca="false">'02 Payload &amp; Kits'!O15*1</f>
        <v>40880</v>
      </c>
      <c r="E6" s="40" t="n">
        <f aca="false">IF(C6=0,"",D6/C6)</f>
        <v>1</v>
      </c>
      <c r="F6" s="30" t="s">
        <v>731</v>
      </c>
    </row>
    <row r="7" customFormat="false" ht="15" hidden="false" customHeight="false" outlineLevel="0" collapsed="false">
      <c r="A7" s="25" t="n">
        <v>3</v>
      </c>
      <c r="B7" s="25" t="s">
        <v>732</v>
      </c>
      <c r="C7" s="26" t="n">
        <f aca="false">'03 Ground Segment'!N24*1</f>
        <v>450800</v>
      </c>
      <c r="D7" s="26" t="n">
        <f aca="false">'03 Ground Segment'!O24*1</f>
        <v>239620</v>
      </c>
      <c r="E7" s="40" t="n">
        <f aca="false">IF(C7=0,"",D7/C7)</f>
        <v>0.531543921916593</v>
      </c>
      <c r="F7" s="30" t="s">
        <v>733</v>
      </c>
    </row>
    <row r="8" customFormat="false" ht="15" hidden="false" customHeight="false" outlineLevel="0" collapsed="false">
      <c r="A8" s="25" t="n">
        <v>4</v>
      </c>
      <c r="B8" s="25" t="s">
        <v>734</v>
      </c>
      <c r="C8" s="26" t="n">
        <f aca="false">'04 Test &amp; Lab Equipment'!N25*1</f>
        <v>453400</v>
      </c>
      <c r="D8" s="26" t="n">
        <f aca="false">'04 Test &amp; Lab Equipment'!O25*1</f>
        <v>245270</v>
      </c>
      <c r="E8" s="40" t="n">
        <f aca="false">IF(C8=0,"",D8/C8)</f>
        <v>0.54095721217468</v>
      </c>
      <c r="F8" s="30" t="s">
        <v>735</v>
      </c>
    </row>
    <row r="9" customFormat="false" ht="15" hidden="false" customHeight="false" outlineLevel="0" collapsed="false">
      <c r="A9" s="25" t="n">
        <v>5</v>
      </c>
      <c r="B9" s="25" t="s">
        <v>703</v>
      </c>
      <c r="C9" s="26" t="n">
        <f aca="false">'05 Spares &amp; Consumables'!N21*1</f>
        <v>444196</v>
      </c>
      <c r="D9" s="26" t="n">
        <f aca="false">'05 Spares &amp; Consumables'!O21*1</f>
        <v>300056.4</v>
      </c>
      <c r="E9" s="40" t="n">
        <f aca="false">IF(C9=0,"",D9/C9)</f>
        <v>0.675504507019424</v>
      </c>
      <c r="F9" s="30" t="s">
        <v>736</v>
      </c>
    </row>
    <row r="10" customFormat="false" ht="15" hidden="false" customHeight="false" outlineLevel="0" collapsed="false">
      <c r="A10" s="25" t="n">
        <v>6</v>
      </c>
      <c r="B10" s="25" t="s">
        <v>737</v>
      </c>
      <c r="C10" s="26" t="n">
        <f aca="false">'06 Software &amp; Data'!N23*1</f>
        <v>100000</v>
      </c>
      <c r="D10" s="26" t="n">
        <f aca="false">'06 Software &amp; Data'!O23*1</f>
        <v>100000</v>
      </c>
      <c r="E10" s="40" t="n">
        <f aca="false">IF(C10=0,"",D10/C10)</f>
        <v>1</v>
      </c>
      <c r="F10" s="30" t="s">
        <v>738</v>
      </c>
    </row>
    <row r="11" customFormat="false" ht="15" hidden="false" customHeight="false" outlineLevel="0" collapsed="false">
      <c r="B11" s="21" t="s">
        <v>739</v>
      </c>
      <c r="C11" s="24" t="n">
        <f aca="false">SUM(C5:C10)</f>
        <v>2360914</v>
      </c>
      <c r="D11" s="24" t="n">
        <f aca="false">SUM(D5:D10)</f>
        <v>1434660.6</v>
      </c>
      <c r="E11" s="22" t="n">
        <f aca="false">D11/C11</f>
        <v>0.607671689862486</v>
      </c>
    </row>
    <row r="13" customFormat="false" ht="15" hidden="false" customHeight="false" outlineLevel="0" collapsed="false">
      <c r="B13" s="21" t="s">
        <v>740</v>
      </c>
    </row>
    <row r="14" customFormat="false" ht="33.75" hidden="false" customHeight="true" outlineLevel="0" collapsed="false">
      <c r="A14" s="5"/>
      <c r="B14" s="5" t="s">
        <v>26</v>
      </c>
      <c r="C14" s="5" t="s">
        <v>741</v>
      </c>
      <c r="D14" s="5" t="s">
        <v>742</v>
      </c>
      <c r="E14" s="5"/>
      <c r="F14" s="5" t="s">
        <v>743</v>
      </c>
    </row>
    <row r="15" customFormat="false" ht="22.35" hidden="false" customHeight="false" outlineLevel="0" collapsed="false">
      <c r="B15" s="41" t="s">
        <v>43</v>
      </c>
      <c r="C15" s="26" t="n">
        <f aca="false">COUNTIF('01 Air Vehicle BOM'!G4:G51,"VERIFIED")+COUNTIF('02 Payload &amp; Kits'!G4:G14,"VERIFIED")+COUNTIF('03 Ground Segment'!G4:G23,"VERIFIED")+COUNTIF('04 Test &amp; Lab Equipment'!G4:G24,"VERIFIED")+COUNTIF('05 Spares &amp; Consumables'!G4:G20,"VERIFIED")+COUNTIF('06 Software &amp; Data'!G4:G22,"VERIFIED")</f>
        <v>20</v>
      </c>
      <c r="D15" s="40" t="n">
        <f aca="false">C15/$C$19</f>
        <v>0.173913043478261</v>
      </c>
      <c r="E15" s="42"/>
      <c r="F15" s="30" t="s">
        <v>744</v>
      </c>
    </row>
    <row r="16" customFormat="false" ht="15" hidden="false" customHeight="false" outlineLevel="0" collapsed="false">
      <c r="B16" s="43" t="s">
        <v>60</v>
      </c>
      <c r="C16" s="26" t="n">
        <f aca="false">COUNTIF('01 Air Vehicle BOM'!G4:G51,"SPEC OK / RFQ")+COUNTIF('02 Payload &amp; Kits'!G4:G14,"SPEC OK / RFQ")+COUNTIF('03 Ground Segment'!G4:G23,"SPEC OK / RFQ")+COUNTIF('04 Test &amp; Lab Equipment'!G4:G24,"SPEC OK / RFQ")+COUNTIF('05 Spares &amp; Consumables'!G4:G20,"SPEC OK / RFQ")+COUNTIF('06 Software &amp; Data'!G4:G22,"SPEC OK / RFQ")</f>
        <v>24</v>
      </c>
      <c r="D16" s="40" t="n">
        <f aca="false">C16/$C$19</f>
        <v>0.208695652173913</v>
      </c>
      <c r="E16" s="42"/>
      <c r="F16" s="30" t="s">
        <v>745</v>
      </c>
    </row>
    <row r="17" customFormat="false" ht="15" hidden="false" customHeight="false" outlineLevel="0" collapsed="false">
      <c r="B17" s="44" t="s">
        <v>80</v>
      </c>
      <c r="C17" s="26" t="n">
        <f aca="false">COUNTIF('01 Air Vehicle BOM'!G4:G51,"RFQ")+COUNTIF('02 Payload &amp; Kits'!G4:G14,"RFQ")+COUNTIF('03 Ground Segment'!G4:G23,"RFQ")+COUNTIF('04 Test &amp; Lab Equipment'!G4:G24,"RFQ")+COUNTIF('05 Spares &amp; Consumables'!G4:G20,"RFQ")+COUNTIF('06 Software &amp; Data'!G4:G22,"RFQ")</f>
        <v>32</v>
      </c>
      <c r="D17" s="40" t="n">
        <f aca="false">C17/$C$19</f>
        <v>0.278260869565217</v>
      </c>
      <c r="E17" s="42"/>
      <c r="F17" s="30" t="s">
        <v>746</v>
      </c>
    </row>
    <row r="18" customFormat="false" ht="15" hidden="false" customHeight="false" outlineLevel="0" collapsed="false">
      <c r="B18" s="43" t="s">
        <v>138</v>
      </c>
      <c r="C18" s="26" t="n">
        <f aca="false">COUNTIF('01 Air Vehicle BOM'!G4:G51,"LOCAL")+COUNTIF('02 Payload &amp; Kits'!G4:G14,"LOCAL")+COUNTIF('03 Ground Segment'!G4:G23,"LOCAL")+COUNTIF('04 Test &amp; Lab Equipment'!G4:G24,"LOCAL")+COUNTIF('05 Spares &amp; Consumables'!G4:G20,"LOCAL")+COUNTIF('06 Software &amp; Data'!G4:G22,"LOCAL")</f>
        <v>39</v>
      </c>
      <c r="D18" s="40" t="n">
        <f aca="false">C18/$C$19</f>
        <v>0.339130434782609</v>
      </c>
      <c r="E18" s="42"/>
      <c r="F18" s="30" t="s">
        <v>747</v>
      </c>
    </row>
    <row r="19" customFormat="false" ht="15" hidden="false" customHeight="false" outlineLevel="0" collapsed="false">
      <c r="B19" s="21" t="s">
        <v>748</v>
      </c>
      <c r="C19" s="24" t="n">
        <f aca="false">SUM(C15:C18)</f>
        <v>115</v>
      </c>
    </row>
    <row r="21" customFormat="false" ht="15" hidden="false" customHeight="false" outlineLevel="0" collapsed="false">
      <c r="B21" s="21" t="s">
        <v>749</v>
      </c>
    </row>
    <row r="22" customFormat="false" ht="24" hidden="false" customHeight="true" outlineLevel="0" collapsed="false">
      <c r="B22" s="45" t="s">
        <v>750</v>
      </c>
      <c r="C22" s="45"/>
      <c r="D22" s="45"/>
      <c r="E22" s="45"/>
      <c r="F22" s="45"/>
    </row>
    <row r="23" customFormat="false" ht="24" hidden="false" customHeight="true" outlineLevel="0" collapsed="false">
      <c r="B23" s="45" t="s">
        <v>751</v>
      </c>
      <c r="C23" s="45"/>
      <c r="D23" s="45"/>
      <c r="E23" s="45"/>
      <c r="F23" s="45"/>
    </row>
    <row r="24" customFormat="false" ht="24" hidden="false" customHeight="true" outlineLevel="0" collapsed="false">
      <c r="B24" s="45" t="s">
        <v>752</v>
      </c>
      <c r="C24" s="45"/>
      <c r="D24" s="45"/>
      <c r="E24" s="45"/>
      <c r="F24" s="45"/>
    </row>
    <row r="25" customFormat="false" ht="15" hidden="false" customHeight="true" outlineLevel="0" collapsed="false">
      <c r="B25" s="45" t="s">
        <v>753</v>
      </c>
      <c r="C25" s="45"/>
      <c r="D25" s="45"/>
      <c r="E25" s="45"/>
      <c r="F25" s="45"/>
    </row>
    <row r="26" customFormat="false" ht="15" hidden="false" customHeight="true" outlineLevel="0" collapsed="false">
      <c r="B26" s="46"/>
      <c r="C26" s="46"/>
      <c r="D26" s="46"/>
      <c r="E26" s="46"/>
      <c r="F26" s="46"/>
    </row>
    <row r="27" customFormat="false" ht="36" hidden="false" customHeight="true" outlineLevel="0" collapsed="false">
      <c r="B27" s="45" t="s">
        <v>754</v>
      </c>
      <c r="C27" s="45"/>
      <c r="D27" s="45"/>
      <c r="E27" s="45"/>
      <c r="F27" s="45"/>
    </row>
  </sheetData>
  <mergeCells count="6">
    <mergeCell ref="B22:F22"/>
    <mergeCell ref="B23:F23"/>
    <mergeCell ref="B24:F24"/>
    <mergeCell ref="B25:F25"/>
    <mergeCell ref="B26:F26"/>
    <mergeCell ref="B27:F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2026-08-10T08:51:02Z</dcterms:created>
  <dc:creator>openpyxl</dc:creator>
  <dc:description/>
  <dc:language>en-US</dc:language>
  <cp:lastModifiedBy/>
  <dcterms:modified xsi:type="dcterms:W3CDTF">2026-08-10T08:51:02Z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