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 Air Vehicle BOM" sheetId="2" state="visible" r:id="rId2"/>
    <sheet xmlns:r="http://schemas.openxmlformats.org/officeDocument/2006/relationships" name="02 Payload &amp; Kits" sheetId="3" state="visible" r:id="rId3"/>
    <sheet xmlns:r="http://schemas.openxmlformats.org/officeDocument/2006/relationships" name="03 Ground Segment" sheetId="4" state="visible" r:id="rId4"/>
    <sheet xmlns:r="http://schemas.openxmlformats.org/officeDocument/2006/relationships" name="04 Test &amp; Lab Equipment" sheetId="5" state="visible" r:id="rId5"/>
    <sheet xmlns:r="http://schemas.openxmlformats.org/officeDocument/2006/relationships" name="05 Spares &amp; Consumables" sheetId="6" state="visible" r:id="rId6"/>
    <sheet xmlns:r="http://schemas.openxmlformats.org/officeDocument/2006/relationships" name="06 Software &amp; Data" sheetId="7" state="visible" r:id="rId7"/>
    <sheet xmlns:r="http://schemas.openxmlformats.org/officeDocument/2006/relationships" name="07 Mass Rollup" sheetId="8" state="visible" r:id="rId8"/>
    <sheet xmlns:r="http://schemas.openxmlformats.org/officeDocument/2006/relationships" name="08 Cost Summary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#,##0;\(#,##0\);\-"/>
    <numFmt numFmtId="167" formatCode="0.0%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/>
    </xf>
    <xf numFmtId="165" fontId="7" fillId="0" borderId="1" applyAlignment="1" pivotButton="0" quotePrefix="0" xfId="0">
      <alignment horizontal="general" vertical="top"/>
    </xf>
    <xf numFmtId="3" fontId="7" fillId="0" borderId="1" applyAlignment="1" pivotButton="0" quotePrefix="0" xfId="0">
      <alignment horizontal="general" vertical="top"/>
    </xf>
    <xf numFmtId="164" fontId="9" fillId="0" borderId="1" applyAlignment="1" pivotButton="0" quotePrefix="0" xfId="0">
      <alignment horizontal="general" vertical="top"/>
    </xf>
    <xf numFmtId="165" fontId="6" fillId="4" borderId="0" applyAlignment="1" pivotButton="0" quotePrefix="0" xfId="0">
      <alignment horizontal="general" vertical="bottom"/>
    </xf>
    <xf numFmtId="3" fontId="6" fillId="4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3" fontId="9" fillId="5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 wrapText="1"/>
    </xf>
    <xf numFmtId="3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167" fontId="6" fillId="4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3" fontId="6" fillId="5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/>
    </xf>
    <xf numFmtId="165" fontId="7" fillId="0" borderId="1" applyAlignment="1" pivotButton="0" quotePrefix="0" xfId="0">
      <alignment horizontal="general" vertical="top"/>
    </xf>
    <xf numFmtId="3" fontId="7" fillId="0" borderId="1" applyAlignment="1" pivotButton="0" quotePrefix="0" xfId="0">
      <alignment horizontal="general" vertical="top"/>
    </xf>
    <xf numFmtId="164" fontId="9" fillId="0" borderId="1" applyAlignment="1" pivotButton="0" quotePrefix="0" xfId="0">
      <alignment horizontal="general" vertical="top"/>
    </xf>
    <xf numFmtId="165" fontId="6" fillId="4" borderId="0" applyAlignment="1" pivotButton="0" quotePrefix="0" xfId="0">
      <alignment horizontal="general" vertical="bottom"/>
    </xf>
    <xf numFmtId="3" fontId="6" fillId="4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3" fontId="9" fillId="5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 wrapText="1"/>
    </xf>
    <xf numFmtId="3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167" fontId="6" fillId="4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3" fontId="6" fillId="5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5" min="1" max="1"/>
    <col width="34" customWidth="1" style="35" min="2" max="2"/>
    <col width="90" customWidth="1" style="35" min="3" max="3"/>
  </cols>
  <sheetData>
    <row r="2" ht="17.35" customHeight="1" s="36">
      <c r="B2" s="37" t="inlineStr">
        <is>
          <t>RescueSwarm — Complete Bill of Materials</t>
        </is>
      </c>
    </row>
    <row r="3" ht="15" customHeight="1" s="36">
      <c r="B3" s="38" t="inlineStr">
        <is>
          <t>NIDAR 2026–27 Track 1 · derived from the Sizing &amp; Calculations report</t>
        </is>
      </c>
    </row>
    <row r="5" ht="27.75" customHeight="1" s="36">
      <c r="B5" s="39" t="inlineStr">
        <is>
          <t>PURPOSE</t>
        </is>
      </c>
      <c r="C5" s="40" t="inlineStr">
        <is>
          <t>Every component required to build the 3-aircraft RescueSwarm system, the ground segment, the test rig, and the spares. Quantities and masses are traceable to the sizing model.</t>
        </is>
      </c>
    </row>
    <row r="6" ht="39" customHeight="1" s="36">
      <c r="B6" s="39" t="inlineStr">
        <is>
          <t>DESIGN POINT</t>
        </is>
      </c>
      <c r="C6" s="40" t="inlineStr">
        <is>
          <t>Quadrotor · 18x6.1 CF folding props · T-Motor MN5008 KV170 · 6S3P 21700 Li-ion (18 cells, 292 Wh) · MTOW 5.71 kg · fleet 17.12 kg against a 25 kg cap (32% margin) · hover 784 W · endurance 17.9 min vs a 7.7 min design mission (2.3x).</t>
        </is>
      </c>
    </row>
    <row r="7" ht="64.5" customHeight="1" s="36">
      <c r="B7" s="39" t="inlineStr">
        <is>
          <t>CHANGE FROM THE SIZING REPORT</t>
        </is>
      </c>
      <c r="C7" s="40" t="inlineStr">
        <is>
          <t>The report assumed 20 in props and a 6S2P pack. Real hardware forced two revisions: (1) the MN5008 is rated for 17-18 in props, so the baseline moves to 18x6.1 (hover power 666 W instead of 605 W); (2) 6S2P left only 9% current margin at peak thrust, so the pack goes to 6S3P. Both changes are documented on the Mass Rollup tab. MTOW rises 5.05 -&gt; 5.71 kg; the fleet is still 32% under the cap.</t>
        </is>
      </c>
    </row>
    <row r="8" ht="39" customHeight="1" s="36">
      <c r="B8" s="39" t="inlineStr">
        <is>
          <t>PRICES</t>
        </is>
      </c>
      <c r="C8" s="40" t="inlineStr">
        <is>
          <t>INDICATIVE BUDGETARY ESTIMATES IN INR, for planning only. They are not quotations. Import duty, GST and freight are added as separate lines on the Cost Summary. Re-price everything at the Phase 1 procurement gate.</t>
        </is>
      </c>
    </row>
    <row r="9" ht="39" customHeight="1" s="36">
      <c r="B9" s="39" t="inlineStr">
        <is>
          <t>MASSES</t>
        </is>
      </c>
      <c r="C9" s="40" t="inlineStr">
        <is>
          <t>Manufacturer figures where published (marked in the Source column); otherwise engineering estimates. Weigh every part on arrival and update the Actual Mass column — the fleet weigh-in is a pass/fail rule check.</t>
        </is>
      </c>
    </row>
    <row r="10" ht="39" customHeight="1" s="36">
      <c r="B10" s="39" t="inlineStr">
        <is>
          <t>HOW TO USE</t>
        </is>
      </c>
      <c r="C10" s="40" t="inlineStr">
        <is>
          <t>Blue cells are inputs you should edit. Black cells are formulas. Yellow cells are decisions still open. Fill the "Actual Mass" and "Actual Price" columns as parts arrive; the Mass Rollup and Cost Summary update automatically.</t>
        </is>
      </c>
    </row>
    <row r="11" ht="39" customHeight="1" s="36">
      <c r="B11" s="39" t="inlineStr">
        <is>
          <t>TIERS</t>
        </is>
      </c>
      <c r="C11" s="40" t="inlineStr">
        <is>
          <t>Where a component has a wide price range (mesh radio, compute, GNSS), three options are listed: A = student budget, B = mid, C = professional. Tier A is costed in the totals. Swapping tiers only requires changing the Include column to 1/0.</t>
        </is>
      </c>
    </row>
    <row r="12" ht="39" customHeight="1" s="36">
      <c r="B12" s="39" t="inlineStr">
        <is>
          <t>OPEN DECISIONS</t>
        </is>
      </c>
      <c r="C12" s="40" t="inlineStr">
        <is>
          <t>Highlighted yellow: quad vs hex, rolling vs global shutter camera, mesh radio tier, whether an RTK base is permitted by the organisers (see clarification question 1 in the Development Plan).</t>
        </is>
      </c>
    </row>
    <row r="14" ht="15" customHeight="1" s="36">
      <c r="B14" s="41" t="inlineStr">
        <is>
          <t>TAB GUIDE</t>
        </is>
      </c>
    </row>
    <row r="15" ht="15" customHeight="1" s="36">
      <c r="B15" s="42" t="inlineStr">
        <is>
          <t>01 Air Vehicle BOM</t>
        </is>
      </c>
      <c r="C15" s="42" t="inlineStr">
        <is>
          <t>Everything on one aircraft. Multiply by 3 for the fleet.</t>
        </is>
      </c>
    </row>
    <row r="16" ht="15" customHeight="1" s="36">
      <c r="B16" s="42" t="inlineStr">
        <is>
          <t>02 Payload &amp; Kits</t>
        </is>
      </c>
      <c r="C16" s="42" t="inlineStr">
        <is>
          <t>Survivor kits and the release mechanism, fleet quantities.</t>
        </is>
      </c>
    </row>
    <row r="17" ht="15" customHeight="1" s="36">
      <c r="B17" s="42" t="inlineStr">
        <is>
          <t>03 Ground Segment</t>
        </is>
      </c>
      <c r="C17" s="42" t="inlineStr">
        <is>
          <t>GCS, mesh ground node, RTK base, field infrastructure, safety.</t>
        </is>
      </c>
    </row>
    <row r="18" ht="15" customHeight="1" s="36">
      <c r="B18" s="42" t="inlineStr">
        <is>
          <t>04 Test &amp; Lab Equipment</t>
        </is>
      </c>
      <c r="C18" s="42" t="inlineStr">
        <is>
          <t>Thrust stand, chargers, instruments, calibration targets.</t>
        </is>
      </c>
    </row>
    <row r="19" ht="15" customHeight="1" s="36">
      <c r="B19" s="42" t="inlineStr">
        <is>
          <t>05 Spares &amp; Consumables</t>
        </is>
      </c>
      <c r="C19" s="42" t="inlineStr">
        <is>
          <t>What you must have in the field box and on the bench.</t>
        </is>
      </c>
    </row>
    <row r="20" ht="15" customHeight="1" s="36">
      <c r="B20" s="42" t="inlineStr">
        <is>
          <t>06 Software &amp; Data</t>
        </is>
      </c>
      <c r="C20" s="42" t="inlineStr">
        <is>
          <t>Toolchain, datasets, services. Mostly free — listed so nothing is forgotten.</t>
        </is>
      </c>
    </row>
    <row r="21" ht="15" customHeight="1" s="36">
      <c r="B21" s="42" t="inlineStr">
        <is>
          <t>07 Mass Rollup</t>
        </is>
      </c>
      <c r="C21" s="42" t="inlineStr">
        <is>
          <t>Per-aircraft and fleet mass, checked against the 25 kg rule.</t>
        </is>
      </c>
    </row>
    <row r="22" ht="15" customHeight="1" s="36">
      <c r="B22" s="42" t="inlineStr">
        <is>
          <t>08 Cost Summary</t>
        </is>
      </c>
      <c r="C22" s="42" t="inlineStr">
        <is>
          <t>Programme cost by category, with duty/GST/freight and contingency.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5" min="1" max="1"/>
    <col width="26" customWidth="1" style="35" min="2" max="2"/>
    <col width="34" customWidth="1" style="35" min="3" max="3"/>
    <col width="6" customWidth="1" style="35" min="4" max="4"/>
    <col width="12" customWidth="1" style="35" min="5" max="5"/>
    <col width="13" customWidth="1" style="35" min="6" max="6"/>
    <col width="14" customWidth="1" style="35" min="7" max="8"/>
    <col width="13" customWidth="1" style="35" min="9" max="9"/>
    <col width="22" customWidth="1" style="35" min="10" max="10"/>
    <col width="11" customWidth="1" style="35" min="11" max="11"/>
    <col width="58" customWidth="1" style="35" min="12" max="12"/>
    <col width="34" customWidth="1" style="35" min="13" max="13"/>
  </cols>
  <sheetData>
    <row r="1" ht="17.35" customHeight="1" s="36">
      <c r="A1" s="37" t="inlineStr">
        <is>
          <t>01 — AIR VEHICLE BOM (per aircraft; multiply by 3)</t>
        </is>
      </c>
    </row>
    <row r="2" ht="15" customHeight="1" s="36">
      <c r="A2" s="38" t="inlineStr">
        <is>
          <t>Masses in grams. Design point: quad, 18x6.1 props, MN5008 KV170, 6S3P 21700 Li-ion, MTOW 5.71 kg. Prices indicative INR, ex-duty.</t>
        </is>
      </c>
    </row>
    <row r="3" ht="26.85" customHeight="1" s="36">
      <c r="A3" s="43" t="inlineStr">
        <is>
          <t>#</t>
        </is>
      </c>
      <c r="B3" s="43" t="inlineStr">
        <is>
          <t>Component</t>
        </is>
      </c>
      <c r="C3" s="43" t="inlineStr">
        <is>
          <t>Specification / Part</t>
        </is>
      </c>
      <c r="D3" s="43" t="inlineStr">
        <is>
          <t>Qty</t>
        </is>
      </c>
      <c r="E3" s="43" t="inlineStr">
        <is>
          <t>Unit Mass (g)</t>
        </is>
      </c>
      <c r="F3" s="43" t="inlineStr">
        <is>
          <t>Total Mass (g)</t>
        </is>
      </c>
      <c r="G3" s="43" t="inlineStr">
        <is>
          <t>Unit Price (INR)</t>
        </is>
      </c>
      <c r="H3" s="43" t="inlineStr">
        <is>
          <t>Ext. Price (INR)</t>
        </is>
      </c>
      <c r="I3" s="43" t="inlineStr">
        <is>
          <t>Actual Mass (g)</t>
        </is>
      </c>
      <c r="J3" s="43" t="inlineStr">
        <is>
          <t>Supplier / Source</t>
        </is>
      </c>
      <c r="K3" s="43" t="inlineStr">
        <is>
          <t>Lead Time</t>
        </is>
      </c>
      <c r="L3" s="43" t="inlineStr">
        <is>
          <t>Why this part / sizing reference</t>
        </is>
      </c>
      <c r="M3" s="43" t="inlineStr">
        <is>
          <t>Alternative</t>
        </is>
      </c>
    </row>
    <row r="4" ht="15" customHeight="1" s="36">
      <c r="A4" s="44" t="inlineStr">
        <is>
          <t>STRUCTURE  — target 1187 g (23.5% of MTOW), see Sizing §5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</row>
    <row r="5" ht="23.85" customHeight="1" s="36">
      <c r="A5" s="46" t="n">
        <v>1</v>
      </c>
      <c r="B5" s="47" t="inlineStr">
        <is>
          <t>Arm tube</t>
        </is>
      </c>
      <c r="C5" s="47" t="inlineStr">
        <is>
          <t>Carbon fibre round tube 25 mm OD x 23 mm ID x 400 mm</t>
        </is>
      </c>
      <c r="D5" s="46" t="n">
        <v>4</v>
      </c>
      <c r="E5" s="48" t="n">
        <v>95</v>
      </c>
      <c r="F5" s="49">
        <f>D5*E5</f>
        <v/>
      </c>
      <c r="G5" s="50" t="n">
        <v>1200</v>
      </c>
      <c r="H5" s="50">
        <f>D5*G5</f>
        <v/>
      </c>
      <c r="I5" s="51" t="n"/>
      <c r="J5" s="47" t="inlineStr">
        <is>
          <t>CF tube supplier / Hindoostan</t>
        </is>
      </c>
      <c r="K5" s="46" t="inlineStr">
        <is>
          <t>2 wk</t>
        </is>
      </c>
      <c r="L5" s="47" t="inlineStr">
        <is>
          <t>Sizing §13: arm root moment 9.4 N·m at T/W=2 gives 22 MPa vs ~600 MPa UD carbon, SF 28. Bending is not the driver; the clamp joint is.</t>
        </is>
      </c>
      <c r="M5" s="47" t="inlineStr">
        <is>
          <t>20x18 mm tube saves 40 g; SF still &gt;15</t>
        </is>
      </c>
    </row>
    <row r="6" ht="23.85" customHeight="1" s="36">
      <c r="A6" s="46" t="n">
        <v>2</v>
      </c>
      <c r="B6" s="47" t="inlineStr">
        <is>
          <t>Centre plate</t>
        </is>
      </c>
      <c r="C6" s="47" t="inlineStr">
        <is>
          <t>CF sandwich 2.5 mm, CNC cut, top + bottom</t>
        </is>
      </c>
      <c r="D6" s="46" t="n">
        <v>2</v>
      </c>
      <c r="E6" s="48" t="n">
        <v>155</v>
      </c>
      <c r="F6" s="49">
        <f>D6*E6</f>
        <v/>
      </c>
      <c r="G6" s="50" t="n">
        <v>3500</v>
      </c>
      <c r="H6" s="50">
        <f>D6*G6</f>
        <v/>
      </c>
      <c r="I6" s="51" t="n"/>
      <c r="J6" s="47" t="inlineStr">
        <is>
          <t>CNC CF cutting service</t>
        </is>
      </c>
      <c r="K6" s="46" t="inlineStr">
        <is>
          <t>3 wk</t>
        </is>
      </c>
      <c r="L6" s="47" t="inlineStr">
        <is>
          <t>Carries all four arm clamps and the battery tray. Custom cut — rule C3 forbids a market-ready airframe.</t>
        </is>
      </c>
      <c r="M6" s="47" t="inlineStr">
        <is>
          <t>3 mm 3K twill if stiffness is short</t>
        </is>
      </c>
    </row>
    <row r="7" ht="23.85" customHeight="1" s="36">
      <c r="A7" s="46" t="n">
        <v>3</v>
      </c>
      <c r="B7" s="47" t="inlineStr">
        <is>
          <t>Arm clamp set</t>
        </is>
      </c>
      <c r="C7" s="47" t="inlineStr">
        <is>
          <t>Machined Al 6061 or CF clamp, 25 mm bore, with anti-rotation key</t>
        </is>
      </c>
      <c r="D7" s="46" t="n">
        <v>4</v>
      </c>
      <c r="E7" s="48" t="n">
        <v>45</v>
      </c>
      <c r="F7" s="49">
        <f>D7*E7</f>
        <v/>
      </c>
      <c r="G7" s="50" t="n">
        <v>900</v>
      </c>
      <c r="H7" s="50">
        <f>D7*G7</f>
        <v/>
      </c>
      <c r="I7" s="51" t="n"/>
      <c r="J7" s="47" t="inlineStr">
        <is>
          <t>Machine shop / T-Motor</t>
        </is>
      </c>
      <c r="K7" s="46" t="inlineStr">
        <is>
          <t>3 wk</t>
        </is>
      </c>
      <c r="L7" s="47" t="inlineStr">
        <is>
          <t>Highest-risk mechanical joint on the aircraft. Must not creep under vibration.</t>
        </is>
      </c>
      <c r="M7" s="47" t="inlineStr">
        <is>
          <t>Folding clamp adds 25 g, aids transport</t>
        </is>
      </c>
    </row>
    <row r="8" ht="23.85" customHeight="1" s="36">
      <c r="A8" s="46" t="n">
        <v>4</v>
      </c>
      <c r="B8" s="47" t="inlineStr">
        <is>
          <t>Motor mount plate</t>
        </is>
      </c>
      <c r="C8" s="47" t="inlineStr">
        <is>
          <t>CF 3 mm, 25 mm tube saddle, M3 x 4 pattern</t>
        </is>
      </c>
      <c r="D8" s="46" t="n">
        <v>4</v>
      </c>
      <c r="E8" s="48" t="n">
        <v>22</v>
      </c>
      <c r="F8" s="49">
        <f>D8*E8</f>
        <v/>
      </c>
      <c r="G8" s="50" t="n">
        <v>450</v>
      </c>
      <c r="H8" s="50">
        <f>D8*G8</f>
        <v/>
      </c>
      <c r="I8" s="51" t="n"/>
      <c r="J8" s="47" t="inlineStr">
        <is>
          <t>CNC CF cutting service</t>
        </is>
      </c>
      <c r="K8" s="46" t="inlineStr">
        <is>
          <t>3 wk</t>
        </is>
      </c>
      <c r="L8" s="47" t="inlineStr">
        <is>
          <t>Interfaces MN5008 3-hole 120° pattern to the arm.</t>
        </is>
      </c>
      <c r="M8" s="47" t="inlineStr">
        <is>
          <t>Integrated into arm clamp</t>
        </is>
      </c>
    </row>
    <row r="9" ht="23.85" customHeight="1" s="36">
      <c r="A9" s="46" t="n">
        <v>5</v>
      </c>
      <c r="B9" s="47" t="inlineStr">
        <is>
          <t>Landing gear leg</t>
        </is>
      </c>
      <c r="C9" s="47" t="inlineStr">
        <is>
          <t>CF tube 16 mm x 300 mm with damped foot</t>
        </is>
      </c>
      <c r="D9" s="46" t="n">
        <v>4</v>
      </c>
      <c r="E9" s="48" t="n">
        <v>55</v>
      </c>
      <c r="F9" s="49">
        <f>D9*E9</f>
        <v/>
      </c>
      <c r="G9" s="50" t="n">
        <v>650</v>
      </c>
      <c r="H9" s="50">
        <f>D9*G9</f>
        <v/>
      </c>
      <c r="I9" s="51" t="n"/>
      <c r="J9" s="47" t="inlineStr">
        <is>
          <t>CF tube supplier</t>
        </is>
      </c>
      <c r="K9" s="46" t="inlineStr">
        <is>
          <t>2 wk</t>
        </is>
      </c>
      <c r="L9" s="47" t="inlineStr">
        <is>
          <t>Must absorb a 1.5 m/s touchdown at 5.71 kg and keep the payload magazine clear of the ground.</t>
        </is>
      </c>
      <c r="M9" s="47" t="inlineStr">
        <is>
          <t>Sprung skid; +40 g</t>
        </is>
      </c>
    </row>
    <row r="10" ht="15" customHeight="1" s="36">
      <c r="A10" s="46" t="n">
        <v>6</v>
      </c>
      <c r="B10" s="47" t="inlineStr">
        <is>
          <t>Landing foot</t>
        </is>
      </c>
      <c r="C10" s="47" t="inlineStr">
        <is>
          <t>TPU moulded / 3D printed, 50 mm dia</t>
        </is>
      </c>
      <c r="D10" s="46" t="n">
        <v>4</v>
      </c>
      <c r="E10" s="48" t="n">
        <v>12</v>
      </c>
      <c r="F10" s="49">
        <f>D10*E10</f>
        <v/>
      </c>
      <c r="G10" s="50" t="n">
        <v>120</v>
      </c>
      <c r="H10" s="50">
        <f>D10*G10</f>
        <v/>
      </c>
      <c r="I10" s="51" t="n"/>
      <c r="J10" s="47" t="inlineStr">
        <is>
          <t>In-house 3D print</t>
        </is>
      </c>
      <c r="K10" s="46" t="inlineStr">
        <is>
          <t>—</t>
        </is>
      </c>
      <c r="L10" s="47" t="inlineStr">
        <is>
          <t>Protects the tube end and damps landing impulse.</t>
        </is>
      </c>
      <c r="M10" s="47" t="inlineStr">
        <is>
          <t>Rubber vibration mount</t>
        </is>
      </c>
    </row>
    <row r="11" ht="15" customHeight="1" s="36">
      <c r="A11" s="46" t="n">
        <v>7</v>
      </c>
      <c r="B11" s="47" t="inlineStr">
        <is>
          <t>Battery tray + strap</t>
        </is>
      </c>
      <c r="C11" s="47" t="inlineStr">
        <is>
          <t>CF tray, 2x hook-loop strap, foam pad</t>
        </is>
      </c>
      <c r="D11" s="46" t="n">
        <v>1</v>
      </c>
      <c r="E11" s="48" t="n">
        <v>85</v>
      </c>
      <c r="F11" s="49">
        <f>D11*E11</f>
        <v/>
      </c>
      <c r="G11" s="50" t="n">
        <v>700</v>
      </c>
      <c r="H11" s="50">
        <f>D11*G11</f>
        <v/>
      </c>
      <c r="I11" s="51" t="n"/>
      <c r="J11" s="47" t="inlineStr">
        <is>
          <t>In-house + hardware</t>
        </is>
      </c>
      <c r="K11" s="46" t="inlineStr">
        <is>
          <t>1 wk</t>
        </is>
      </c>
      <c r="L11" s="47" t="inlineStr">
        <is>
          <t>Retains a 1449 g pack under a 3 g landing load.</t>
        </is>
      </c>
      <c r="M11" s="47" t="inlineStr">
        <is>
          <t>Quick-release latch</t>
        </is>
      </c>
    </row>
    <row r="12" ht="23.85" customHeight="1" s="36">
      <c r="A12" s="46" t="n">
        <v>8</v>
      </c>
      <c r="B12" s="47" t="inlineStr">
        <is>
          <t>FC vibration mount</t>
        </is>
      </c>
      <c r="C12" s="47" t="inlineStr">
        <is>
          <t>Silicone damping-ball plate, 4 balls, 20-30 shore</t>
        </is>
      </c>
      <c r="D12" s="46" t="n">
        <v>1</v>
      </c>
      <c r="E12" s="48" t="n">
        <v>18</v>
      </c>
      <c r="F12" s="49">
        <f>D12*E12</f>
        <v/>
      </c>
      <c r="G12" s="50" t="n">
        <v>450</v>
      </c>
      <c r="H12" s="50">
        <f>D12*G12</f>
        <v/>
      </c>
      <c r="I12" s="51" t="n"/>
      <c r="J12" s="47" t="inlineStr">
        <is>
          <t>Holybro / generic</t>
        </is>
      </c>
      <c r="K12" s="46" t="inlineStr">
        <is>
          <t>1 wk</t>
        </is>
      </c>
      <c r="L12" s="47" t="inlineStr">
        <is>
          <t>IMU vibration is the top cause of EKF failure on student builds. Sizing §13 flags vibration fatigue as the real structural driver.</t>
        </is>
      </c>
      <c r="M12" s="47" t="inlineStr">
        <is>
          <t>Gel pad + 3M VHB</t>
        </is>
      </c>
    </row>
    <row r="13" ht="23.85" customHeight="1" s="36">
      <c r="A13" s="46" t="n">
        <v>9</v>
      </c>
      <c r="B13" s="47" t="inlineStr">
        <is>
          <t>Electronics canopy</t>
        </is>
      </c>
      <c r="C13" s="47" t="inlineStr">
        <is>
          <t>3D-printed PETG/ASA shell with vents, IP-splash rated</t>
        </is>
      </c>
      <c r="D13" s="46" t="n">
        <v>1</v>
      </c>
      <c r="E13" s="48" t="n">
        <v>140</v>
      </c>
      <c r="F13" s="49">
        <f>D13*E13</f>
        <v/>
      </c>
      <c r="G13" s="50" t="n">
        <v>600</v>
      </c>
      <c r="H13" s="50">
        <f>D13*G13</f>
        <v/>
      </c>
      <c r="I13" s="51" t="n"/>
      <c r="J13" s="47" t="inlineStr">
        <is>
          <t>In-house 3D print</t>
        </is>
      </c>
      <c r="K13" s="46" t="inlineStr">
        <is>
          <t>1 wk</t>
        </is>
      </c>
      <c r="L13" s="47" t="inlineStr">
        <is>
          <t>Houses Jetson, mesh radio, PDB. Must accept the cooling blower duct (Sizing §14).</t>
        </is>
      </c>
      <c r="M13" s="47" t="inlineStr">
        <is>
          <t>CF shell, -60 g, +INR 4000</t>
        </is>
      </c>
    </row>
    <row r="14" ht="23.85" customHeight="1" s="36">
      <c r="A14" s="46" t="n">
        <v>10</v>
      </c>
      <c r="B14" s="47" t="inlineStr">
        <is>
          <t>Compute bay duct + blower</t>
        </is>
      </c>
      <c r="C14" s="47" t="inlineStr">
        <is>
          <t>5 V 40 mm blower + printed duct, active from power-on</t>
        </is>
      </c>
      <c r="D14" s="46" t="n">
        <v>1</v>
      </c>
      <c r="E14" s="48" t="n">
        <v>32</v>
      </c>
      <c r="F14" s="49">
        <f>D14*E14</f>
        <v/>
      </c>
      <c r="G14" s="50" t="n">
        <v>450</v>
      </c>
      <c r="H14" s="50">
        <f>D14*G14</f>
        <v/>
      </c>
      <c r="I14" s="51" t="n"/>
      <c r="J14" s="47" t="inlineStr">
        <is>
          <t>Generic / in-house</t>
        </is>
      </c>
      <c r="K14" s="46" t="inlineStr">
        <is>
          <t>1 wk</t>
        </is>
      </c>
      <c r="L14" s="47" t="inlineStr">
        <is>
          <t>Sizing §14: worst thermal case is the 5-min setup with props stopped, Jetson at 18 W, ambient 35 °C.</t>
        </is>
      </c>
      <c r="M14" s="47" t="inlineStr">
        <is>
          <t>Passive heatsink only — NOT recommended</t>
        </is>
      </c>
    </row>
    <row r="15" ht="23.85" customHeight="1" s="36">
      <c r="A15" s="46" t="n">
        <v>11</v>
      </c>
      <c r="B15" s="47" t="inlineStr">
        <is>
          <t>Fastener kit</t>
        </is>
      </c>
      <c r="C15" s="47" t="inlineStr">
        <is>
          <t>M3 socket cap A2 (6-30 mm), nyloc, washers, M3 heat inserts</t>
        </is>
      </c>
      <c r="D15" s="46" t="n">
        <v>1</v>
      </c>
      <c r="E15" s="48" t="n">
        <v>110</v>
      </c>
      <c r="F15" s="49">
        <f>D15*E15</f>
        <v/>
      </c>
      <c r="G15" s="50" t="n">
        <v>900</v>
      </c>
      <c r="H15" s="50">
        <f>D15*G15</f>
        <v/>
      </c>
      <c r="I15" s="51" t="n"/>
      <c r="J15" s="47" t="inlineStr">
        <is>
          <t>Local hardware</t>
        </is>
      </c>
      <c r="K15" s="46" t="inlineStr">
        <is>
          <t>1 wk</t>
        </is>
      </c>
      <c r="L15" s="47" t="inlineStr">
        <is>
          <t>Assume ~120 fasteners per aircraft. Budget threadlocker separately.</t>
        </is>
      </c>
      <c r="M15" s="47" t="inlineStr">
        <is>
          <t>Titanium; -35 g, 5x cost</t>
        </is>
      </c>
    </row>
    <row r="16" ht="15" customHeight="1" s="36">
      <c r="A16" s="46" t="n">
        <v>12</v>
      </c>
      <c r="B16" s="47" t="inlineStr">
        <is>
          <t>Standoffs / spacers</t>
        </is>
      </c>
      <c r="C16" s="47" t="inlineStr">
        <is>
          <t>M3 aluminium, 10-40 mm assorted</t>
        </is>
      </c>
      <c r="D16" s="46" t="n">
        <v>1</v>
      </c>
      <c r="E16" s="48" t="n">
        <v>60</v>
      </c>
      <c r="F16" s="49">
        <f>D16*E16</f>
        <v/>
      </c>
      <c r="G16" s="50" t="n">
        <v>350</v>
      </c>
      <c r="H16" s="50">
        <f>D16*G16</f>
        <v/>
      </c>
      <c r="I16" s="51" t="n"/>
      <c r="J16" s="47" t="inlineStr">
        <is>
          <t>Local hardware</t>
        </is>
      </c>
      <c r="K16" s="46" t="inlineStr">
        <is>
          <t>1 wk</t>
        </is>
      </c>
      <c r="L16" s="47" t="inlineStr">
        <is>
          <t>Stack spacing for the avionics tray.</t>
        </is>
      </c>
      <c r="M16" s="47" t="inlineStr">
        <is>
          <t>Nylon; -25 g, less stiff</t>
        </is>
      </c>
    </row>
    <row r="17" ht="23.85" customHeight="1" s="36">
      <c r="A17" s="46" t="n">
        <v>13</v>
      </c>
      <c r="B17" s="47" t="inlineStr">
        <is>
          <t>Wiring channel / grommets</t>
        </is>
      </c>
      <c r="C17" s="47" t="inlineStr">
        <is>
          <t>Rubber grommets, spiral wrap, P-clips</t>
        </is>
      </c>
      <c r="D17" s="46" t="n">
        <v>1</v>
      </c>
      <c r="E17" s="48" t="n">
        <v>35</v>
      </c>
      <c r="F17" s="49">
        <f>D17*E17</f>
        <v/>
      </c>
      <c r="G17" s="50" t="n">
        <v>300</v>
      </c>
      <c r="H17" s="50">
        <f>D17*G17</f>
        <v/>
      </c>
      <c r="I17" s="51" t="n"/>
      <c r="J17" s="47" t="inlineStr">
        <is>
          <t>Local hardware</t>
        </is>
      </c>
      <c r="K17" s="46" t="inlineStr">
        <is>
          <t>1 wk</t>
        </is>
      </c>
      <c r="L17" s="47" t="inlineStr">
        <is>
          <t>Chafe protection where the harness passes through CF — CF dust is conductive and abrasive.</t>
        </is>
      </c>
      <c r="M17" s="47" t="inlineStr">
        <is>
          <t>—</t>
        </is>
      </c>
    </row>
    <row r="18" ht="15" customHeight="1" s="36">
      <c r="A18" s="44" t="inlineStr">
        <is>
          <t>PROPULSION  — target 934 g</t>
        </is>
      </c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  <c r="L18" s="45" t="n"/>
      <c r="M18" s="45" t="n"/>
    </row>
    <row r="19" ht="46.25" customHeight="1" s="36">
      <c r="A19" s="46" t="n">
        <v>14</v>
      </c>
      <c r="B19" s="47" t="inlineStr">
        <is>
          <t>Motor</t>
        </is>
      </c>
      <c r="C19" s="47" t="inlineStr">
        <is>
          <t>T-Motor Antigravity MN5008 KV170, 6-12S</t>
        </is>
      </c>
      <c r="D19" s="46" t="n">
        <v>4</v>
      </c>
      <c r="E19" s="48" t="n">
        <v>135</v>
      </c>
      <c r="F19" s="49">
        <f>D19*E19</f>
        <v/>
      </c>
      <c r="G19" s="50" t="n">
        <v>9500</v>
      </c>
      <c r="H19" s="50">
        <f>D19*G19</f>
        <v/>
      </c>
      <c r="I19" s="51" t="n"/>
      <c r="J19" s="47" t="inlineStr">
        <is>
          <t>T-Motor / Indian distributor</t>
        </is>
      </c>
      <c r="K19" s="46" t="inlineStr">
        <is>
          <t>4-6 wk</t>
        </is>
      </c>
      <c r="L19" s="47" t="inlineStr">
        <is>
          <t>Sizing §6: need 2.53 kgf/motor at T/W=2. MN5008 gives 4.1 kgf on 18x6.1 → T/W_max 2.87, hover at 35% of max. Over-motored, but the 32% fleet mass margin makes that a good trade for wind and failure headroom.</t>
        </is>
      </c>
      <c r="M19" s="47" t="inlineStr">
        <is>
          <t>MN4014 KV330: -25 g each, hover ~50% of max, less headroom</t>
        </is>
      </c>
    </row>
    <row r="20" ht="23.85" customHeight="1" s="36">
      <c r="A20" s="46" t="n">
        <v>15</v>
      </c>
      <c r="B20" s="47" t="inlineStr">
        <is>
          <t>ESC</t>
        </is>
      </c>
      <c r="C20" s="47" t="inlineStr">
        <is>
          <t>60 A 6-12S BLHeli-32 / AM32, DShot600, telemetry out</t>
        </is>
      </c>
      <c r="D20" s="46" t="n">
        <v>4</v>
      </c>
      <c r="E20" s="48" t="n">
        <v>45</v>
      </c>
      <c r="F20" s="49">
        <f>D20*E20</f>
        <v/>
      </c>
      <c r="G20" s="50" t="n">
        <v>3500</v>
      </c>
      <c r="H20" s="50">
        <f>D20*G20</f>
        <v/>
      </c>
      <c r="I20" s="51" t="n"/>
      <c r="J20" s="47" t="inlineStr">
        <is>
          <t>T-Motor / Hobbywing / Flycolor</t>
        </is>
      </c>
      <c r="K20" s="46" t="inlineStr">
        <is>
          <t>3-4 wk</t>
        </is>
      </c>
      <c r="L20" s="47" t="inlineStr">
        <is>
          <t>Sizing §6: 98 A pack peak = ~25 A per motor. A 60 A ESC is 2.4x margin, which is the right number for a heavy-lift build.</t>
        </is>
      </c>
      <c r="M20" s="47" t="inlineStr">
        <is>
          <t>4-in-1 ESC saves wiring but is a single point of failure</t>
        </is>
      </c>
    </row>
    <row r="21" ht="23.85" customHeight="1" s="36">
      <c r="A21" s="46" t="n">
        <v>16</v>
      </c>
      <c r="B21" s="47" t="inlineStr">
        <is>
          <t>Propeller pair</t>
        </is>
      </c>
      <c r="C21" s="47" t="inlineStr">
        <is>
          <t>18 x 6.1 in CF folding, CW+CCW, T-Motor P18x6.1 or MF1806</t>
        </is>
      </c>
      <c r="D21" s="46" t="n">
        <v>2</v>
      </c>
      <c r="E21" s="48" t="n">
        <v>116</v>
      </c>
      <c r="F21" s="49">
        <f>D21*E21</f>
        <v/>
      </c>
      <c r="G21" s="50" t="n">
        <v>2800</v>
      </c>
      <c r="H21" s="50">
        <f>D21*G21</f>
        <v/>
      </c>
      <c r="I21" s="51" t="n"/>
      <c r="J21" s="47" t="inlineStr">
        <is>
          <t>T-Motor</t>
        </is>
      </c>
      <c r="K21" s="46" t="inlineStr">
        <is>
          <t>4 wk</t>
        </is>
      </c>
      <c r="L21" s="47" t="inlineStr">
        <is>
          <t>Sizing §3: prop diameter drives hover power as 1/D. 18 in is the largest the MN5008 is rated for. Folding for transport.</t>
        </is>
      </c>
      <c r="M21" s="47" t="inlineStr">
        <is>
          <t>Fixed 18x6.1: -15 g/pair, cheaper, bulkier to ship</t>
        </is>
      </c>
    </row>
    <row r="22" ht="23.85" customHeight="1" s="36">
      <c r="A22" s="46" t="n">
        <v>17</v>
      </c>
      <c r="B22" s="47" t="inlineStr">
        <is>
          <t>Prop adapter / hub</t>
        </is>
      </c>
      <c r="C22" s="47" t="inlineStr">
        <is>
          <t>M8 self-tightening or folding hub, matched to motor shaft</t>
        </is>
      </c>
      <c r="D22" s="46" t="n">
        <v>4</v>
      </c>
      <c r="E22" s="48" t="n">
        <v>14</v>
      </c>
      <c r="F22" s="49">
        <f>D22*E22</f>
        <v/>
      </c>
      <c r="G22" s="50" t="n">
        <v>650</v>
      </c>
      <c r="H22" s="50">
        <f>D22*G22</f>
        <v/>
      </c>
      <c r="I22" s="51" t="n"/>
      <c r="J22" s="47" t="inlineStr">
        <is>
          <t>T-Motor</t>
        </is>
      </c>
      <c r="K22" s="46" t="inlineStr">
        <is>
          <t>4 wk</t>
        </is>
      </c>
      <c r="L22" s="47" t="inlineStr">
        <is>
          <t>Must match the MN5008 shaft. Confirm included in motor kit before ordering.</t>
        </is>
      </c>
      <c r="M22" s="47" t="inlineStr">
        <is>
          <t>Included with some motor SKUs</t>
        </is>
      </c>
    </row>
    <row r="23" ht="15" customHeight="1" s="36">
      <c r="A23" s="44" t="inlineStr">
        <is>
          <t>POWER  — target 1449 g pack + 275 g distribution</t>
        </is>
      </c>
      <c r="B23" s="45" t="n"/>
      <c r="C23" s="45" t="n"/>
      <c r="D23" s="45" t="n"/>
      <c r="E23" s="45" t="n"/>
      <c r="F23" s="45" t="n"/>
      <c r="G23" s="45" t="n"/>
      <c r="H23" s="45" t="n"/>
      <c r="I23" s="45" t="n"/>
      <c r="J23" s="45" t="n"/>
      <c r="K23" s="45" t="n"/>
      <c r="L23" s="45" t="n"/>
      <c r="M23" s="45" t="n"/>
    </row>
    <row r="24" ht="35.05" customHeight="1" s="36">
      <c r="A24" s="46" t="n">
        <v>18</v>
      </c>
      <c r="B24" s="47" t="inlineStr">
        <is>
          <t>Li-ion cell</t>
        </is>
      </c>
      <c r="C24" s="47" t="inlineStr">
        <is>
          <t>Molicel INR21700-P45B, 4500 mAh, 45 A continuous</t>
        </is>
      </c>
      <c r="D24" s="46" t="n">
        <v>18</v>
      </c>
      <c r="E24" s="48" t="n">
        <v>70</v>
      </c>
      <c r="F24" s="49">
        <f>D24*E24</f>
        <v/>
      </c>
      <c r="G24" s="50" t="n">
        <v>750</v>
      </c>
      <c r="H24" s="50">
        <f>D24*G24</f>
        <v/>
      </c>
      <c r="I24" s="51" t="n"/>
      <c r="J24" s="47" t="inlineStr">
        <is>
          <t>Cell distributor (authentic only)</t>
        </is>
      </c>
      <c r="K24" s="46" t="inlineStr">
        <is>
          <t>3-4 wk</t>
        </is>
      </c>
      <c r="L24" s="47" t="inlineStr">
        <is>
          <t>Sizing §4: 6S3P = 292 Wh, 13.5 Ah, 135 A burst vs a 98 A peak demand (38% margin). Counterfeits are common — buy from an authorised source and capacity-test every cell.</t>
        </is>
      </c>
      <c r="M24" s="47" t="inlineStr">
        <is>
          <t>Samsung 50S: +5% energy, 25 A/cell, needs 6S4P</t>
        </is>
      </c>
    </row>
    <row r="25" ht="23.85" customHeight="1" s="36">
      <c r="A25" s="46" t="n">
        <v>19</v>
      </c>
      <c r="B25" s="47" t="inlineStr">
        <is>
          <t>Cell holder + nickel</t>
        </is>
      </c>
      <c r="C25" s="47" t="inlineStr">
        <is>
          <t>21700 holders, 0.15 x 8 mm pure nickel strip, fish paper</t>
        </is>
      </c>
      <c r="D25" s="46" t="n">
        <v>1</v>
      </c>
      <c r="E25" s="48" t="n">
        <v>120</v>
      </c>
      <c r="F25" s="49">
        <f>D25*E25</f>
        <v/>
      </c>
      <c r="G25" s="50" t="n">
        <v>1400</v>
      </c>
      <c r="H25" s="50">
        <f>D25*G25</f>
        <v/>
      </c>
      <c r="I25" s="51" t="n"/>
      <c r="J25" s="47" t="inlineStr">
        <is>
          <t>Battery build supplier</t>
        </is>
      </c>
      <c r="K25" s="46" t="inlineStr">
        <is>
          <t>2 wk</t>
        </is>
      </c>
      <c r="L25" s="47" t="inlineStr">
        <is>
          <t>Spot-welded pack. Nickel cross-section sized for 135 A burst.</t>
        </is>
      </c>
      <c r="M25" s="47" t="inlineStr">
        <is>
          <t>Pre-built 6S3P pack from a vendor</t>
        </is>
      </c>
    </row>
    <row r="26" ht="23.85" customHeight="1" s="36">
      <c r="A26" s="46" t="n">
        <v>20</v>
      </c>
      <c r="B26" s="47" t="inlineStr">
        <is>
          <t>BMS / balance board</t>
        </is>
      </c>
      <c r="C26" s="47" t="inlineStr">
        <is>
          <t>6S balance lead board with per-cell taps, 100 A discharge path</t>
        </is>
      </c>
      <c r="D26" s="46" t="n">
        <v>1</v>
      </c>
      <c r="E26" s="48" t="n">
        <v>45</v>
      </c>
      <c r="F26" s="49">
        <f>D26*E26</f>
        <v/>
      </c>
      <c r="G26" s="50" t="n">
        <v>1800</v>
      </c>
      <c r="H26" s="50">
        <f>D26*G26</f>
        <v/>
      </c>
      <c r="I26" s="51" t="n"/>
      <c r="J26" s="47" t="inlineStr">
        <is>
          <t>Generic</t>
        </is>
      </c>
      <c r="K26" s="46" t="inlineStr">
        <is>
          <t>2 wk</t>
        </is>
      </c>
      <c r="L26" s="47" t="inlineStr">
        <is>
          <t>Balance charging and per-cell monitoring. Discharge path may bypass the BMS if it cannot take 135 A.</t>
        </is>
      </c>
      <c r="M26" s="47" t="inlineStr">
        <is>
          <t>Balance leads only, no BMS</t>
        </is>
      </c>
    </row>
    <row r="27" ht="15" customHeight="1" s="36">
      <c r="A27" s="46" t="n">
        <v>21</v>
      </c>
      <c r="B27" s="47" t="inlineStr">
        <is>
          <t>Pack wrap + case</t>
        </is>
      </c>
      <c r="C27" s="47" t="inlineStr">
        <is>
          <t>Heat shrink, foam, hard-shell frame</t>
        </is>
      </c>
      <c r="D27" s="46" t="n">
        <v>1</v>
      </c>
      <c r="E27" s="48" t="n">
        <v>95</v>
      </c>
      <c r="F27" s="49">
        <f>D27*E27</f>
        <v/>
      </c>
      <c r="G27" s="50" t="n">
        <v>800</v>
      </c>
      <c r="H27" s="50">
        <f>D27*G27</f>
        <v/>
      </c>
      <c r="I27" s="51" t="n"/>
      <c r="J27" s="47" t="inlineStr">
        <is>
          <t>Local</t>
        </is>
      </c>
      <c r="K27" s="46" t="inlineStr">
        <is>
          <t>1 wk</t>
        </is>
      </c>
      <c r="L27" s="47" t="inlineStr">
        <is>
          <t>Protects cells from vibration and crash puncture.</t>
        </is>
      </c>
      <c r="M27" s="47" t="inlineStr">
        <is>
          <t>—</t>
        </is>
      </c>
    </row>
    <row r="28" ht="23.85" customHeight="1" s="36">
      <c r="A28" s="46" t="n">
        <v>22</v>
      </c>
      <c r="B28" s="47" t="inlineStr">
        <is>
          <t>Main connector</t>
        </is>
      </c>
      <c r="C28" s="47" t="inlineStr">
        <is>
          <t>XT90-S anti-spark, male + female with pigtails</t>
        </is>
      </c>
      <c r="D28" s="46" t="n">
        <v>2</v>
      </c>
      <c r="E28" s="48" t="n">
        <v>22</v>
      </c>
      <c r="F28" s="49">
        <f>D28*E28</f>
        <v/>
      </c>
      <c r="G28" s="50" t="n">
        <v>350</v>
      </c>
      <c r="H28" s="50">
        <f>D28*G28</f>
        <v/>
      </c>
      <c r="I28" s="51" t="n"/>
      <c r="J28" s="47" t="inlineStr">
        <is>
          <t>Amass / generic</t>
        </is>
      </c>
      <c r="K28" s="46" t="inlineStr">
        <is>
          <t>1 wk</t>
        </is>
      </c>
      <c r="L28" s="47" t="inlineStr">
        <is>
          <t>Anti-spark is mandatory at 292 Wh — a plain XT90 will arc and pit.</t>
        </is>
      </c>
      <c r="M28" s="47" t="inlineStr">
        <is>
          <t>AS150 + XT150 for &gt;120 A</t>
        </is>
      </c>
    </row>
    <row r="29" ht="23.85" customHeight="1" s="36">
      <c r="A29" s="46" t="n">
        <v>23</v>
      </c>
      <c r="B29" s="47" t="inlineStr">
        <is>
          <t>Power distribution board</t>
        </is>
      </c>
      <c r="C29" s="47" t="inlineStr">
        <is>
          <t>PDB rated 200 A continuous, 10 AWG pads</t>
        </is>
      </c>
      <c r="D29" s="46" t="n">
        <v>1</v>
      </c>
      <c r="E29" s="48" t="n">
        <v>55</v>
      </c>
      <c r="F29" s="49">
        <f>D29*E29</f>
        <v/>
      </c>
      <c r="G29" s="50" t="n">
        <v>2200</v>
      </c>
      <c r="H29" s="50">
        <f>D29*G29</f>
        <v/>
      </c>
      <c r="I29" s="51" t="n"/>
      <c r="J29" s="47" t="inlineStr">
        <is>
          <t>Mauch / Holybro / generic</t>
        </is>
      </c>
      <c r="K29" s="46" t="inlineStr">
        <is>
          <t>2 wk</t>
        </is>
      </c>
      <c r="L29" s="47" t="inlineStr">
        <is>
          <t>Sizing §6: 98 A peak. 200 A rating gives thermal margin at 45 °C ambient.</t>
        </is>
      </c>
      <c r="M29" s="47" t="inlineStr">
        <is>
          <t>Solder direct to a copper bus bar</t>
        </is>
      </c>
    </row>
    <row r="30" ht="23.85" customHeight="1" s="36">
      <c r="A30" s="46" t="n">
        <v>24</v>
      </c>
      <c r="B30" s="47" t="inlineStr">
        <is>
          <t>Power module / current sensor</t>
        </is>
      </c>
      <c r="C30" s="47" t="inlineStr">
        <is>
          <t>Hall-effect 100-200 A, 6-14S, with 5 V FC supply</t>
        </is>
      </c>
      <c r="D30" s="46" t="n">
        <v>1</v>
      </c>
      <c r="E30" s="48" t="n">
        <v>42</v>
      </c>
      <c r="F30" s="49">
        <f>D30*E30</f>
        <v/>
      </c>
      <c r="G30" s="50" t="n">
        <v>3200</v>
      </c>
      <c r="H30" s="50">
        <f>D30*G30</f>
        <v/>
      </c>
      <c r="I30" s="51" t="n"/>
      <c r="J30" s="47" t="inlineStr">
        <is>
          <t>Mauch HS-200 / Holybro PM07</t>
        </is>
      </c>
      <c r="K30" s="46" t="inlineStr">
        <is>
          <t>2-3 wk</t>
        </is>
      </c>
      <c r="L30" s="47" t="inlineStr">
        <is>
          <t>Battery telemetry drives the low-battery failsafe (rule C16) and the SoC display on the GCS (rule C11).</t>
        </is>
      </c>
      <c r="M30" s="47" t="inlineStr">
        <is>
          <t>Shunt-based; cheaper, less accurate at low current</t>
        </is>
      </c>
    </row>
    <row r="31" ht="23.85" customHeight="1" s="36">
      <c r="A31" s="46" t="n">
        <v>25</v>
      </c>
      <c r="B31" s="47" t="inlineStr">
        <is>
          <t>BEC 5 V</t>
        </is>
      </c>
      <c r="C31" s="47" t="inlineStr">
        <is>
          <t>5 V 5 A switching, low-noise, for FC + peripherals</t>
        </is>
      </c>
      <c r="D31" s="46" t="n">
        <v>1</v>
      </c>
      <c r="E31" s="48" t="n">
        <v>28</v>
      </c>
      <c r="F31" s="49">
        <f>D31*E31</f>
        <v/>
      </c>
      <c r="G31" s="50" t="n">
        <v>900</v>
      </c>
      <c r="H31" s="50">
        <f>D31*G31</f>
        <v/>
      </c>
      <c r="I31" s="51" t="n"/>
      <c r="J31" s="47" t="inlineStr">
        <is>
          <t>Mateksys / generic</t>
        </is>
      </c>
      <c r="K31" s="46" t="inlineStr">
        <is>
          <t>1 wk</t>
        </is>
      </c>
      <c r="L31" s="47" t="inlineStr">
        <is>
          <t>Separate rail from the compute BEC so a Jetson brownout cannot take the FC down.</t>
        </is>
      </c>
      <c r="M31" s="47" t="inlineStr">
        <is>
          <t>Use FC internal BEC — not recommended at this power</t>
        </is>
      </c>
    </row>
    <row r="32" ht="23.85" customHeight="1" s="36">
      <c r="A32" s="46" t="n">
        <v>26</v>
      </c>
      <c r="B32" s="47" t="inlineStr">
        <is>
          <t>BEC 12 V</t>
        </is>
      </c>
      <c r="C32" s="47" t="inlineStr">
        <is>
          <t>12 V 5 A switching, for Jetson + mesh radio</t>
        </is>
      </c>
      <c r="D32" s="46" t="n">
        <v>1</v>
      </c>
      <c r="E32" s="48" t="n">
        <v>34</v>
      </c>
      <c r="F32" s="49">
        <f>D32*E32</f>
        <v/>
      </c>
      <c r="G32" s="50" t="n">
        <v>1100</v>
      </c>
      <c r="H32" s="50">
        <f>D32*G32</f>
        <v/>
      </c>
      <c r="I32" s="51" t="n"/>
      <c r="J32" s="47" t="inlineStr">
        <is>
          <t>Mateksys / generic</t>
        </is>
      </c>
      <c r="K32" s="46" t="inlineStr">
        <is>
          <t>1 wk</t>
        </is>
      </c>
      <c r="L32" s="47" t="inlineStr">
        <is>
          <t>Jetson Orin Nano needs a clean 12 V at ~4 A peak. Sizing §14: 42 W total avionics.</t>
        </is>
      </c>
      <c r="M32" s="47" t="inlineStr">
        <is>
          <t>19 V module for a barrel-jack carrier</t>
        </is>
      </c>
    </row>
    <row r="33" ht="15" customHeight="1" s="36">
      <c r="A33" s="46" t="n">
        <v>27</v>
      </c>
      <c r="B33" s="47" t="inlineStr">
        <is>
          <t>Silicone wire 10 AWG</t>
        </is>
      </c>
      <c r="C33" s="47" t="inlineStr">
        <is>
          <t>Red + black, 2 m total</t>
        </is>
      </c>
      <c r="D33" s="46" t="n">
        <v>1</v>
      </c>
      <c r="E33" s="48" t="n">
        <v>110</v>
      </c>
      <c r="F33" s="49">
        <f>D33*E33</f>
        <v/>
      </c>
      <c r="G33" s="50" t="n">
        <v>600</v>
      </c>
      <c r="H33" s="50">
        <f>D33*G33</f>
        <v/>
      </c>
      <c r="I33" s="51" t="n"/>
      <c r="J33" s="47" t="inlineStr">
        <is>
          <t>Local</t>
        </is>
      </c>
      <c r="K33" s="46" t="inlineStr">
        <is>
          <t>1 wk</t>
        </is>
      </c>
      <c r="L33" s="47" t="inlineStr">
        <is>
          <t>Sizing §6: 98 A peak → 10 AWG mains.</t>
        </is>
      </c>
      <c r="M33" s="47" t="inlineStr">
        <is>
          <t>8 AWG if runs exceed 300 mm</t>
        </is>
      </c>
    </row>
    <row r="34" ht="15" customHeight="1" s="36">
      <c r="A34" s="46" t="n">
        <v>28</v>
      </c>
      <c r="B34" s="47" t="inlineStr">
        <is>
          <t>Silicone wire 14 AWG</t>
        </is>
      </c>
      <c r="C34" s="47" t="inlineStr">
        <is>
          <t>Motor phase leads, 6 m</t>
        </is>
      </c>
      <c r="D34" s="46" t="n">
        <v>1</v>
      </c>
      <c r="E34" s="48" t="n">
        <v>95</v>
      </c>
      <c r="F34" s="49">
        <f>D34*E34</f>
        <v/>
      </c>
      <c r="G34" s="50" t="n">
        <v>500</v>
      </c>
      <c r="H34" s="50">
        <f>D34*G34</f>
        <v/>
      </c>
      <c r="I34" s="51" t="n"/>
      <c r="J34" s="47" t="inlineStr">
        <is>
          <t>Local</t>
        </is>
      </c>
      <c r="K34" s="46" t="inlineStr">
        <is>
          <t>1 wk</t>
        </is>
      </c>
      <c r="L34" s="47" t="inlineStr">
        <is>
          <t>25 A per motor peak → 14 AWG is comfortable.</t>
        </is>
      </c>
      <c r="M34" s="47" t="inlineStr">
        <is>
          <t>12 AWG</t>
        </is>
      </c>
    </row>
    <row r="35" ht="23.85" customHeight="1" s="36">
      <c r="A35" s="46" t="n">
        <v>29</v>
      </c>
      <c r="B35" s="47" t="inlineStr">
        <is>
          <t>Signal wire + connectors</t>
        </is>
      </c>
      <c r="C35" s="47" t="inlineStr">
        <is>
          <t>22-26 AWG, JST-GH 4/6 pin sets, DuPont, heat shrink</t>
        </is>
      </c>
      <c r="D35" s="46" t="n">
        <v>1</v>
      </c>
      <c r="E35" s="48" t="n">
        <v>80</v>
      </c>
      <c r="F35" s="49">
        <f>D35*E35</f>
        <v/>
      </c>
      <c r="G35" s="50" t="n">
        <v>1200</v>
      </c>
      <c r="H35" s="50">
        <f>D35*G35</f>
        <v/>
      </c>
      <c r="I35" s="51" t="n"/>
      <c r="J35" s="47" t="inlineStr">
        <is>
          <t>Local / Holybro</t>
        </is>
      </c>
      <c r="K35" s="46" t="inlineStr">
        <is>
          <t>1 wk</t>
        </is>
      </c>
      <c r="L35" s="47" t="inlineStr">
        <is>
          <t>JST-GH is the Pixhawk standard; do not improvise connectors on a flight article.</t>
        </is>
      </c>
      <c r="M35" s="47" t="inlineStr">
        <is>
          <t>—</t>
        </is>
      </c>
    </row>
    <row r="36" ht="15" customHeight="1" s="36">
      <c r="A36" s="46" t="n">
        <v>30</v>
      </c>
      <c r="B36" s="47" t="inlineStr">
        <is>
          <t>Low-voltage buzzer</t>
        </is>
      </c>
      <c r="C36" s="47" t="inlineStr">
        <is>
          <t>Piezo with FC drive</t>
        </is>
      </c>
      <c r="D36" s="46" t="n">
        <v>1</v>
      </c>
      <c r="E36" s="48" t="n">
        <v>10</v>
      </c>
      <c r="F36" s="49">
        <f>D36*E36</f>
        <v/>
      </c>
      <c r="G36" s="50" t="n">
        <v>200</v>
      </c>
      <c r="H36" s="50">
        <f>D36*G36</f>
        <v/>
      </c>
      <c r="I36" s="51" t="n"/>
      <c r="J36" s="47" t="inlineStr">
        <is>
          <t>Generic</t>
        </is>
      </c>
      <c r="K36" s="46" t="inlineStr">
        <is>
          <t>1 wk</t>
        </is>
      </c>
      <c r="L36" s="47" t="inlineStr">
        <is>
          <t>Audible pre-arm and low-battery warning; also a lost-model locator.</t>
        </is>
      </c>
      <c r="M36" s="47" t="inlineStr">
        <is>
          <t>—</t>
        </is>
      </c>
    </row>
    <row r="37" ht="15" customHeight="1" s="36">
      <c r="A37" s="44" t="inlineStr">
        <is>
          <t>AVIONICS  — target 175 g</t>
        </is>
      </c>
      <c r="B37" s="45" t="n"/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</row>
    <row r="38" ht="35.05" customHeight="1" s="36">
      <c r="A38" s="46" t="n">
        <v>31</v>
      </c>
      <c r="B38" s="47" t="inlineStr">
        <is>
          <t>Flight controller</t>
        </is>
      </c>
      <c r="C38" s="47" t="inlineStr">
        <is>
          <t>Pixhawk 6C / Holybro Pix32 v6, H7, triple IMU, ArduPilot or PX4</t>
        </is>
      </c>
      <c r="D38" s="46" t="n">
        <v>1</v>
      </c>
      <c r="E38" s="48" t="n">
        <v>45</v>
      </c>
      <c r="F38" s="49">
        <f>D38*E38</f>
        <v/>
      </c>
      <c r="G38" s="50" t="n">
        <v>28000</v>
      </c>
      <c r="H38" s="50">
        <f>D38*G38</f>
        <v/>
      </c>
      <c r="I38" s="51" t="n"/>
      <c r="J38" s="47" t="inlineStr">
        <is>
          <t>Holybro / CUAV</t>
        </is>
      </c>
      <c r="K38" s="46" t="inlineStr">
        <is>
          <t>3-4 wk</t>
        </is>
      </c>
      <c r="L38" s="47" t="inlineStr">
        <is>
          <t>Sizing §1: proven autopilot handles stabilisation and failsafes; the companion handles autonomy. Triple IMU matters for the vibration environment.</t>
        </is>
      </c>
      <c r="M38" s="47" t="inlineStr">
        <is>
          <t>CubeOrange+ (+30 g, +INR 25k, better isolation) · VEGA-based FC as a NIDAR indigenisation stretch goal</t>
        </is>
      </c>
    </row>
    <row r="39" ht="35.05" customHeight="1" s="36">
      <c r="A39" s="46" t="n">
        <v>32</v>
      </c>
      <c r="B39" s="47" t="inlineStr">
        <is>
          <t>GNSS rover (RTK)</t>
        </is>
      </c>
      <c r="C39" s="47" t="inlineStr">
        <is>
          <t>u-blox ZED-F9P module, multi-band, with helical antenna</t>
        </is>
      </c>
      <c r="D39" s="46" t="n">
        <v>1</v>
      </c>
      <c r="E39" s="48" t="n">
        <v>55</v>
      </c>
      <c r="F39" s="49">
        <f>D39*E39</f>
        <v/>
      </c>
      <c r="G39" s="50" t="n">
        <v>32000</v>
      </c>
      <c r="H39" s="50">
        <f>D39*G39</f>
        <v/>
      </c>
      <c r="I39" s="51" t="n"/>
      <c r="J39" s="47" t="inlineStr">
        <is>
          <t>Holybro H-RTK F9P / ArduSimple</t>
        </is>
      </c>
      <c r="K39" s="46" t="inlineStr">
        <is>
          <t>4 wk</t>
        </is>
      </c>
      <c r="L39" s="47" t="inlineStr">
        <is>
          <t>Sizing §11: RTK takes geotag CEP50 from 2.54 m to 1.08 m by removing the dominant GNSS term. THIS IS THE SINGLE HIGHEST-LEVERAGE AVIONICS PURCHASE.</t>
        </is>
      </c>
      <c r="M39" s="47" t="inlineStr">
        <is>
          <t>M9N (non-RTK): CEP ~2.5 m, saves INR 27k</t>
        </is>
      </c>
    </row>
    <row r="40" ht="35.05" customHeight="1" s="36">
      <c r="A40" s="46" t="n">
        <v>33</v>
      </c>
      <c r="B40" s="47" t="inlineStr">
        <is>
          <t>GNSS secondary (heading)</t>
        </is>
      </c>
      <c r="C40" s="47" t="inlineStr">
        <is>
          <t>Second ZED-F9P for moving-baseline yaw</t>
        </is>
      </c>
      <c r="D40" s="46" t="n">
        <v>1</v>
      </c>
      <c r="E40" s="48" t="n">
        <v>50</v>
      </c>
      <c r="F40" s="49">
        <f>D40*E40</f>
        <v/>
      </c>
      <c r="G40" s="50" t="n">
        <v>30000</v>
      </c>
      <c r="H40" s="50">
        <f>D40*G40</f>
        <v/>
      </c>
      <c r="I40" s="51" t="n"/>
      <c r="J40" s="47" t="inlineStr">
        <is>
          <t>Holybro / ArduSimple</t>
        </is>
      </c>
      <c r="K40" s="46" t="inlineStr">
        <is>
          <t>4 wk</t>
        </is>
      </c>
      <c r="L40" s="47" t="inlineStr">
        <is>
          <t>Sizing §11 case C: with RTK, attitude becomes a leading error term. Dual-antenna heading removes magnetometer error, which is severe near a 100 A power bus.</t>
        </is>
      </c>
      <c r="M40" s="47" t="inlineStr">
        <is>
          <t>Single GNSS + compass; accept ~1° yaw error</t>
        </is>
      </c>
    </row>
    <row r="41" ht="23.85" customHeight="1" s="36">
      <c r="A41" s="46" t="n">
        <v>34</v>
      </c>
      <c r="B41" s="47" t="inlineStr">
        <is>
          <t>GNSS antenna</t>
        </is>
      </c>
      <c r="C41" s="47" t="inlineStr">
        <is>
          <t>Multi-band helical/patch L1/L2, with ground plane</t>
        </is>
      </c>
      <c r="D41" s="46" t="n">
        <v>2</v>
      </c>
      <c r="E41" s="48" t="n">
        <v>35</v>
      </c>
      <c r="F41" s="49">
        <f>D41*E41</f>
        <v/>
      </c>
      <c r="G41" s="50" t="n">
        <v>4500</v>
      </c>
      <c r="H41" s="50">
        <f>D41*G41</f>
        <v/>
      </c>
      <c r="I41" s="51" t="n"/>
      <c r="J41" s="47" t="inlineStr">
        <is>
          <t>Included with most F9P kits</t>
        </is>
      </c>
      <c r="K41" s="46" t="inlineStr">
        <is>
          <t>4 wk</t>
        </is>
      </c>
      <c r="L41" s="47" t="inlineStr">
        <is>
          <t>Mount ≥150 mm above the power bus and away from the Jetson (Sizing: EMI control is a P3 exit gate).</t>
        </is>
      </c>
      <c r="M41" s="47" t="inlineStr">
        <is>
          <t>—</t>
        </is>
      </c>
    </row>
    <row r="42" ht="35.05" customHeight="1" s="36">
      <c r="A42" s="46" t="n">
        <v>35</v>
      </c>
      <c r="B42" s="47" t="inlineStr">
        <is>
          <t>RC receiver</t>
        </is>
      </c>
      <c r="C42" s="47" t="inlineStr">
        <is>
          <t>ExpressLRS 2.4 GHz or FrSky, for the safety pilot link</t>
        </is>
      </c>
      <c r="D42" s="46" t="n">
        <v>1</v>
      </c>
      <c r="E42" s="48" t="n">
        <v>12</v>
      </c>
      <c r="F42" s="49">
        <f>D42*E42</f>
        <v/>
      </c>
      <c r="G42" s="50" t="n">
        <v>2500</v>
      </c>
      <c r="H42" s="50">
        <f>D42*G42</f>
        <v/>
      </c>
      <c r="I42" s="51" t="n"/>
      <c r="J42" s="47" t="inlineStr">
        <is>
          <t>Generic</t>
        </is>
      </c>
      <c r="K42" s="46" t="inlineStr">
        <is>
          <t>1 wk</t>
        </is>
      </c>
      <c r="L42" s="47" t="inlineStr">
        <is>
          <t>Not used in the scored mission. Present so a human can take manual control in an emergency — a range-safety requirement, not a rules requirement.</t>
        </is>
      </c>
      <c r="M42" s="47" t="inlineStr">
        <is>
          <t>Crossfire 868 MHz</t>
        </is>
      </c>
    </row>
    <row r="43" ht="23.85" customHeight="1" s="36">
      <c r="A43" s="46" t="n">
        <v>36</v>
      </c>
      <c r="B43" s="47" t="inlineStr">
        <is>
          <t>Safety switch + LED</t>
        </is>
      </c>
      <c r="C43" s="47" t="inlineStr">
        <is>
          <t>Pixhawk safety switch, RGB status LED (external)</t>
        </is>
      </c>
      <c r="D43" s="46" t="n">
        <v>1</v>
      </c>
      <c r="E43" s="48" t="n">
        <v>18</v>
      </c>
      <c r="F43" s="49">
        <f>D43*E43</f>
        <v/>
      </c>
      <c r="G43" s="50" t="n">
        <v>900</v>
      </c>
      <c r="H43" s="50">
        <f>D43*G43</f>
        <v/>
      </c>
      <c r="I43" s="51" t="n"/>
      <c r="J43" s="47" t="inlineStr">
        <is>
          <t>Holybro</t>
        </is>
      </c>
      <c r="K43" s="46" t="inlineStr">
        <is>
          <t>2 wk</t>
        </is>
      </c>
      <c r="L43" s="47" t="inlineStr">
        <is>
          <t>Physical arming interlock; the LED is how the ground crew reads state from 10 m away.</t>
        </is>
      </c>
      <c r="M43" s="47" t="inlineStr">
        <is>
          <t>—</t>
        </is>
      </c>
    </row>
    <row r="44" ht="23.85" customHeight="1" s="36">
      <c r="A44" s="46" t="n">
        <v>37</v>
      </c>
      <c r="B44" s="47" t="inlineStr">
        <is>
          <t>microSD card</t>
        </is>
      </c>
      <c r="C44" s="47" t="inlineStr">
        <is>
          <t>32 GB, industrial/high-endurance, for FC dataflash logs</t>
        </is>
      </c>
      <c r="D44" s="46" t="n">
        <v>2</v>
      </c>
      <c r="E44" s="48" t="n">
        <v>2</v>
      </c>
      <c r="F44" s="49">
        <f>D44*E44</f>
        <v/>
      </c>
      <c r="G44" s="50" t="n">
        <v>900</v>
      </c>
      <c r="H44" s="50">
        <f>D44*G44</f>
        <v/>
      </c>
      <c r="I44" s="51" t="n"/>
      <c r="J44" s="47" t="inlineStr">
        <is>
          <t>SanDisk / Samsung</t>
        </is>
      </c>
      <c r="K44" s="46" t="inlineStr">
        <is>
          <t>1 wk</t>
        </is>
      </c>
      <c r="L44" s="47" t="inlineStr">
        <is>
          <t>Every flight must be logged (Development Plan §1.5). Two so one is always in the aircraft.</t>
        </is>
      </c>
      <c r="M44" s="47" t="inlineStr">
        <is>
          <t>—</t>
        </is>
      </c>
    </row>
    <row r="45" ht="15" customHeight="1" s="36">
      <c r="A45" s="44" t="inlineStr">
        <is>
          <t>COMPUTE &amp; PERCEPTION  — target 350 g</t>
        </is>
      </c>
      <c r="B45" s="45" t="n"/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</row>
    <row r="46" ht="35.05" customHeight="1" s="36">
      <c r="A46" s="46" t="n">
        <v>38</v>
      </c>
      <c r="B46" s="47" t="inlineStr">
        <is>
          <t>Companion computer</t>
        </is>
      </c>
      <c r="C46" s="47" t="inlineStr">
        <is>
          <t>NVIDIA Jetson Orin Nano 8 GB Super Dev Kit (module + carrier)</t>
        </is>
      </c>
      <c r="D46" s="46" t="n">
        <v>1</v>
      </c>
      <c r="E46" s="48" t="n">
        <v>185</v>
      </c>
      <c r="F46" s="49">
        <f>D46*E46</f>
        <v/>
      </c>
      <c r="G46" s="50" t="n">
        <v>52000</v>
      </c>
      <c r="H46" s="50">
        <f>D46*G46</f>
        <v/>
      </c>
      <c r="I46" s="51" t="n"/>
      <c r="J46" s="47" t="inlineStr">
        <is>
          <t>NVIDIA / Indian distributor</t>
        </is>
      </c>
      <c r="K46" s="46" t="inlineStr">
        <is>
          <t>4-8 wk</t>
        </is>
      </c>
      <c r="L46" s="47" t="inlineStr">
        <is>
          <t>Sizing §8.2: tiled inference at 2 Hz needs ~24 inferences/s at 640x640; Orin Nano delivers 24-40 FPS with TensorRT FP16. Long lead time — order at the Phase 1 gate.</t>
        </is>
      </c>
      <c r="M46" s="47" t="inlineStr">
        <is>
          <t>Orin NX 16GB (+INR 45k, 3x throughput) · Raspberry Pi 5 + Hailo-8L (lighter, cheaper, weaker toolchain)</t>
        </is>
      </c>
    </row>
    <row r="47" ht="23.85" customHeight="1" s="36">
      <c r="A47" s="46" t="n">
        <v>39</v>
      </c>
      <c r="B47" s="47" t="inlineStr">
        <is>
          <t>NVMe SSD</t>
        </is>
      </c>
      <c r="C47" s="47" t="inlineStr">
        <is>
          <t>256 GB M.2 2280 NVMe</t>
        </is>
      </c>
      <c r="D47" s="46" t="n">
        <v>1</v>
      </c>
      <c r="E47" s="48" t="n">
        <v>10</v>
      </c>
      <c r="F47" s="49">
        <f>D47*E47</f>
        <v/>
      </c>
      <c r="G47" s="50" t="n">
        <v>3000</v>
      </c>
      <c r="H47" s="50">
        <f>D47*G47</f>
        <v/>
      </c>
      <c r="I47" s="51" t="n"/>
      <c r="J47" s="47" t="inlineStr">
        <is>
          <t>Generic</t>
        </is>
      </c>
      <c r="K47" s="46" t="inlineStr">
        <is>
          <t>1 wk</t>
        </is>
      </c>
      <c r="L47" s="47" t="inlineStr">
        <is>
          <t>Boot device plus onboard recording of raw imagery for post-flight dataset growth (Development Plan P7).</t>
        </is>
      </c>
      <c r="M47" s="47" t="inlineStr">
        <is>
          <t>128 GB</t>
        </is>
      </c>
    </row>
    <row r="48" ht="35.05" customHeight="1" s="36">
      <c r="A48" s="46" t="n">
        <v>40</v>
      </c>
      <c r="B48" s="47" t="inlineStr">
        <is>
          <t>Camera module</t>
        </is>
      </c>
      <c r="C48" s="47" t="inlineStr">
        <is>
          <t>Arducam IMX477 12.3 MP, 1/2.3 in, CSI-2, with 6 mm CS lens</t>
        </is>
      </c>
      <c r="D48" s="46" t="n">
        <v>1</v>
      </c>
      <c r="E48" s="48" t="n">
        <v>75</v>
      </c>
      <c r="F48" s="49">
        <f>D48*E48</f>
        <v/>
      </c>
      <c r="G48" s="50" t="n">
        <v>9000</v>
      </c>
      <c r="H48" s="50">
        <f>D48*G48</f>
        <v/>
      </c>
      <c r="I48" s="51" t="n"/>
      <c r="J48" s="47" t="inlineStr">
        <is>
          <t>Arducam</t>
        </is>
      </c>
      <c r="K48" s="46" t="inlineStr">
        <is>
          <t>2-3 wk</t>
        </is>
      </c>
      <c r="L48" s="47" t="inlineStr">
        <is>
          <t>Sizing §8: at 60 m AGL this gives 1.82 cm/px GSD and a 93 px person, with 74 m swath. ROLLING SHUTTER — mitigated by the ≤1/1000 s shutter and the 15°/s body-rate gate in Sizing §8.1.</t>
        </is>
      </c>
      <c r="M48" s="47" t="inlineStr">
        <is>
          <t>Global-shutter alternatives are far lower resolution; a rolling shutter with the rate gate is the right compromise here</t>
        </is>
      </c>
    </row>
    <row r="49" ht="23.85" customHeight="1" s="36">
      <c r="A49" s="46" t="n">
        <v>41</v>
      </c>
      <c r="B49" s="47" t="inlineStr">
        <is>
          <t>Lens</t>
        </is>
      </c>
      <c r="C49" s="47" t="inlineStr">
        <is>
          <t>6 mm CS-mount, low distortion, IR-cut</t>
        </is>
      </c>
      <c r="D49" s="46" t="n">
        <v>1</v>
      </c>
      <c r="E49" s="48" t="n">
        <v>25</v>
      </c>
      <c r="F49" s="49">
        <f>D49*E49</f>
        <v/>
      </c>
      <c r="G49" s="50" t="n">
        <v>2800</v>
      </c>
      <c r="H49" s="50">
        <f>D49*G49</f>
        <v/>
      </c>
      <c r="I49" s="51" t="n"/>
      <c r="J49" s="47" t="inlineStr">
        <is>
          <t>Arducam / Computar</t>
        </is>
      </c>
      <c r="K49" s="46" t="inlineStr">
        <is>
          <t>2-3 wk</t>
        </is>
      </c>
      <c r="L49" s="47" t="inlineStr">
        <is>
          <t>f = 6 mm sets HFOV 63.3°. Verify actual FOV by calibration — datasheet FOV figures are routinely optimistic.</t>
        </is>
      </c>
      <c r="M49" s="47" t="inlineStr">
        <is>
          <t>8 mm for higher GSD at the cost of swath</t>
        </is>
      </c>
    </row>
    <row r="50" ht="35.05" customHeight="1" s="36">
      <c r="A50" s="46" t="n">
        <v>42</v>
      </c>
      <c r="B50" s="47" t="inlineStr">
        <is>
          <t>Camera mount</t>
        </is>
      </c>
      <c r="C50" s="47" t="inlineStr">
        <is>
          <t>Rigid nadir mount with silicone isolation, boresight-adjustable</t>
        </is>
      </c>
      <c r="D50" s="46" t="n">
        <v>1</v>
      </c>
      <c r="E50" s="48" t="n">
        <v>45</v>
      </c>
      <c r="F50" s="49">
        <f>D50*E50</f>
        <v/>
      </c>
      <c r="G50" s="50" t="n">
        <v>1500</v>
      </c>
      <c r="H50" s="50">
        <f>D50*G50</f>
        <v/>
      </c>
      <c r="I50" s="51" t="n"/>
      <c r="J50" s="47" t="inlineStr">
        <is>
          <t>In-house</t>
        </is>
      </c>
      <c r="K50" s="46" t="inlineStr">
        <is>
          <t>1 wk</t>
        </is>
      </c>
      <c r="L50" s="47" t="inlineStr">
        <is>
          <t>Sizing §11: boresight residual is a SYSTEMATIC error that no amount of frame averaging removes. The mount must be adjustable and then LOCKED and re-calibrated.</t>
        </is>
      </c>
      <c r="M50" s="47" t="inlineStr">
        <is>
          <t>1-axis pitch gimbal: +120 g, +INR 15k, better oblique looks</t>
        </is>
      </c>
    </row>
    <row r="51" ht="23.85" customHeight="1" s="36">
      <c r="A51" s="46" t="n">
        <v>43</v>
      </c>
      <c r="B51" s="47" t="inlineStr">
        <is>
          <t>CSI ribbon cable</t>
        </is>
      </c>
      <c r="C51" s="47" t="inlineStr">
        <is>
          <t>22-pin to 15-pin, 300 mm, shielded</t>
        </is>
      </c>
      <c r="D51" s="46" t="n">
        <v>2</v>
      </c>
      <c r="E51" s="48" t="n">
        <v>6</v>
      </c>
      <c r="F51" s="49">
        <f>D51*E51</f>
        <v/>
      </c>
      <c r="G51" s="50" t="n">
        <v>600</v>
      </c>
      <c r="H51" s="50">
        <f>D51*G51</f>
        <v/>
      </c>
      <c r="I51" s="51" t="n"/>
      <c r="J51" s="47" t="inlineStr">
        <is>
          <t>Arducam</t>
        </is>
      </c>
      <c r="K51" s="46" t="inlineStr">
        <is>
          <t>2 wk</t>
        </is>
      </c>
      <c r="L51" s="47" t="inlineStr">
        <is>
          <t>Long CSI runs are noise-prone; use shielded and keep away from ESC leads.</t>
        </is>
      </c>
      <c r="M51" s="47" t="inlineStr">
        <is>
          <t>—</t>
        </is>
      </c>
    </row>
    <row r="52" ht="15" customHeight="1" s="36">
      <c r="A52" s="46" t="n">
        <v>44</v>
      </c>
      <c r="B52" s="47" t="inlineStr">
        <is>
          <t>Heatsink + fan</t>
        </is>
      </c>
      <c r="C52" s="47" t="inlineStr">
        <is>
          <t>Active cooler for the Orin Nano module</t>
        </is>
      </c>
      <c r="D52" s="46" t="n">
        <v>1</v>
      </c>
      <c r="E52" s="48" t="n">
        <v>90</v>
      </c>
      <c r="F52" s="49">
        <f>D52*E52</f>
        <v/>
      </c>
      <c r="G52" s="50" t="n">
        <v>2500</v>
      </c>
      <c r="H52" s="50">
        <f>D52*G52</f>
        <v/>
      </c>
      <c r="I52" s="51" t="n"/>
      <c r="J52" s="47" t="inlineStr">
        <is>
          <t>NVIDIA / Waveshare</t>
        </is>
      </c>
      <c r="K52" s="46" t="inlineStr">
        <is>
          <t>2 wk</t>
        </is>
      </c>
      <c r="L52" s="47" t="inlineStr">
        <is>
          <t>Sizing §14: 18 W sustained. Included with the dev kit but verify.</t>
        </is>
      </c>
      <c r="M52" s="47" t="inlineStr">
        <is>
          <t>Included with dev kit</t>
        </is>
      </c>
    </row>
    <row r="53" ht="23.85" customHeight="1" s="36">
      <c r="A53" s="46" t="n">
        <v>45</v>
      </c>
      <c r="B53" s="47" t="inlineStr">
        <is>
          <t>FC-to-companion cable</t>
        </is>
      </c>
      <c r="C53" s="47" t="inlineStr">
        <is>
          <t>JST-GH 6-pin to USB-TTL / UART, 250 mm</t>
        </is>
      </c>
      <c r="D53" s="46" t="n">
        <v>1</v>
      </c>
      <c r="E53" s="48" t="n">
        <v>8</v>
      </c>
      <c r="F53" s="49">
        <f>D53*E53</f>
        <v/>
      </c>
      <c r="G53" s="50" t="n">
        <v>600</v>
      </c>
      <c r="H53" s="50">
        <f>D53*G53</f>
        <v/>
      </c>
      <c r="I53" s="51" t="n"/>
      <c r="J53" s="47" t="inlineStr">
        <is>
          <t>Holybro</t>
        </is>
      </c>
      <c r="K53" s="46" t="inlineStr">
        <is>
          <t>2 wk</t>
        </is>
      </c>
      <c r="L53" s="47" t="inlineStr">
        <is>
          <t>MAVLink 2 or uXRCE-DDS link. Use UART, not USB, for flight-critical traffic.</t>
        </is>
      </c>
      <c r="M53" s="47" t="inlineStr">
        <is>
          <t>Ethernet if the FC supports it</t>
        </is>
      </c>
    </row>
    <row r="54" ht="15" customHeight="1" s="36">
      <c r="A54" s="44" t="inlineStr">
        <is>
          <t>COMMUNICATIONS  — target 140 g</t>
        </is>
      </c>
      <c r="B54" s="45" t="n"/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</row>
    <row r="55" ht="35.05" customHeight="1" s="36">
      <c r="A55" s="46" t="n">
        <v>46</v>
      </c>
      <c r="B55" s="47" t="inlineStr">
        <is>
          <t>Mesh radio — TIER A</t>
        </is>
      </c>
      <c r="C55" s="47" t="inlineStr">
        <is>
          <t>802.11ac M.2/mini-PCIe card (Intel AX210 or QCA9880) in the Jetson, batman-adv on OpenWrt/Linux</t>
        </is>
      </c>
      <c r="D55" s="46" t="n">
        <v>1</v>
      </c>
      <c r="E55" s="48" t="n">
        <v>25</v>
      </c>
      <c r="F55" s="49">
        <f>D55*E55</f>
        <v/>
      </c>
      <c r="G55" s="50" t="n">
        <v>4500</v>
      </c>
      <c r="H55" s="50">
        <f>D55*G55</f>
        <v/>
      </c>
      <c r="I55" s="51" t="n"/>
      <c r="J55" s="47" t="inlineStr">
        <is>
          <t>Generic</t>
        </is>
      </c>
      <c r="K55" s="46" t="inlineStr">
        <is>
          <t>1-2 wk</t>
        </is>
      </c>
      <c r="L55" s="47" t="inlineStr">
        <is>
          <t>Sizing §12: offered load is 2.5 Mbps against ≥26 Mbps at MCS3 with 13.7 dB margin at 600 m. Commodity 802.11 + batman-adv meets this and is the standard student solution.</t>
        </is>
      </c>
      <c r="M55" s="47" t="inlineStr">
        <is>
          <t>Tier B: Microhard pMDDL2450 (~INR 55k, true MANET). Tier C: Doodle Labs Mesh Rider (~INR 160k+).</t>
        </is>
      </c>
    </row>
    <row r="56" ht="23.85" customHeight="1" s="36">
      <c r="A56" s="46" t="n">
        <v>47</v>
      </c>
      <c r="B56" s="47" t="inlineStr">
        <is>
          <t>5.8 GHz antenna</t>
        </is>
      </c>
      <c r="C56" s="47" t="inlineStr">
        <is>
          <t>3 dBi RP-SMA dipole, 5.15-5.9 GHz</t>
        </is>
      </c>
      <c r="D56" s="46" t="n">
        <v>2</v>
      </c>
      <c r="E56" s="48" t="n">
        <v>18</v>
      </c>
      <c r="F56" s="49">
        <f>D56*E56</f>
        <v/>
      </c>
      <c r="G56" s="50" t="n">
        <v>900</v>
      </c>
      <c r="H56" s="50">
        <f>D56*G56</f>
        <v/>
      </c>
      <c r="I56" s="51" t="n"/>
      <c r="J56" s="47" t="inlineStr">
        <is>
          <t>Generic</t>
        </is>
      </c>
      <c r="K56" s="46" t="inlineStr">
        <is>
          <t>1 wk</t>
        </is>
      </c>
      <c r="L56" s="47" t="inlineStr">
        <is>
          <t>Sizing §12: air node 24 dBm + 3 dBi = 27 dBm EIRP, legal under India 5.825-5.875 GHz drone allocation (1 W Tx / 4 W EIRP).</t>
        </is>
      </c>
      <c r="M56" s="47" t="inlineStr">
        <is>
          <t>Circular polarised: better multipath, +12 g</t>
        </is>
      </c>
    </row>
    <row r="57" ht="15" customHeight="1" s="36">
      <c r="A57" s="46" t="n">
        <v>48</v>
      </c>
      <c r="B57" s="47" t="inlineStr">
        <is>
          <t>U.FL to RP-SMA pigtail</t>
        </is>
      </c>
      <c r="C57" s="47" t="inlineStr">
        <is>
          <t>150 mm, low loss</t>
        </is>
      </c>
      <c r="D57" s="46" t="n">
        <v>2</v>
      </c>
      <c r="E57" s="48" t="n">
        <v>8</v>
      </c>
      <c r="F57" s="49">
        <f>D57*E57</f>
        <v/>
      </c>
      <c r="G57" s="50" t="n">
        <v>350</v>
      </c>
      <c r="H57" s="50">
        <f>D57*G57</f>
        <v/>
      </c>
      <c r="I57" s="51" t="n"/>
      <c r="J57" s="47" t="inlineStr">
        <is>
          <t>Generic</t>
        </is>
      </c>
      <c r="K57" s="46" t="inlineStr">
        <is>
          <t>1 wk</t>
        </is>
      </c>
      <c r="L57" s="47" t="inlineStr">
        <is>
          <t>Keep short — every 100 mm of thin coax at 5.8 GHz costs ~0.5 dB.</t>
        </is>
      </c>
      <c r="M57" s="47" t="inlineStr">
        <is>
          <t>—</t>
        </is>
      </c>
    </row>
    <row r="58" ht="23.85" customHeight="1" s="36">
      <c r="A58" s="46" t="n">
        <v>49</v>
      </c>
      <c r="B58" s="47" t="inlineStr">
        <is>
          <t>Sub-GHz safety radio</t>
        </is>
      </c>
      <c r="C58" s="47" t="inlineStr">
        <is>
          <t>RFD868x-EU or Ebyte E22-900 (865-867 MHz India delicensed band)</t>
        </is>
      </c>
      <c r="D58" s="46" t="n">
        <v>1</v>
      </c>
      <c r="E58" s="48" t="n">
        <v>25</v>
      </c>
      <c r="F58" s="49">
        <f>D58*E58</f>
        <v/>
      </c>
      <c r="G58" s="50" t="n">
        <v>9500</v>
      </c>
      <c r="H58" s="50">
        <f>D58*G58</f>
        <v/>
      </c>
      <c r="I58" s="51" t="n"/>
      <c r="J58" s="47" t="inlineStr">
        <is>
          <t>RFDesign / Ebyte</t>
        </is>
      </c>
      <c r="K58" s="46" t="inlineStr">
        <is>
          <t>2-3 wk</t>
        </is>
      </c>
      <c r="L58" s="47" t="inlineStr">
        <is>
          <t>Sizing §12: 53 dB margin at 600 m. Abort and recall (rule C16) live on this link because it is the one that does not fail.</t>
        </is>
      </c>
      <c r="M58" s="47" t="inlineStr">
        <is>
          <t>433 MHz — check WPC delicensing before use</t>
        </is>
      </c>
    </row>
    <row r="59" ht="15" customHeight="1" s="36">
      <c r="A59" s="46" t="n">
        <v>50</v>
      </c>
      <c r="B59" s="47" t="inlineStr">
        <is>
          <t>868 MHz antenna</t>
        </is>
      </c>
      <c r="C59" s="47" t="inlineStr">
        <is>
          <t>2 dBi dipole, RP-SMA, with pigtail</t>
        </is>
      </c>
      <c r="D59" s="46" t="n">
        <v>1</v>
      </c>
      <c r="E59" s="48" t="n">
        <v>20</v>
      </c>
      <c r="F59" s="49">
        <f>D59*E59</f>
        <v/>
      </c>
      <c r="G59" s="50" t="n">
        <v>700</v>
      </c>
      <c r="H59" s="50">
        <f>D59*G59</f>
        <v/>
      </c>
      <c r="I59" s="51" t="n"/>
      <c r="J59" s="47" t="inlineStr">
        <is>
          <t>RFDesign</t>
        </is>
      </c>
      <c r="K59" s="46" t="inlineStr">
        <is>
          <t>2-3 wk</t>
        </is>
      </c>
      <c r="L59" s="47" t="inlineStr">
        <is>
          <t>Mount orthogonally to the 5.8 GHz antennas to reduce coupling.</t>
        </is>
      </c>
      <c r="M59" s="47" t="inlineStr">
        <is>
          <t>—</t>
        </is>
      </c>
    </row>
    <row r="60" ht="15" customHeight="1" s="36">
      <c r="A60" s="44" t="inlineStr">
        <is>
          <t>PAYLOAD SYSTEM  — target 240 g mechanism</t>
        </is>
      </c>
      <c r="B60" s="45" t="n"/>
      <c r="C60" s="45" t="n"/>
      <c r="D60" s="45" t="n"/>
      <c r="E60" s="45" t="n"/>
      <c r="F60" s="45" t="n"/>
      <c r="G60" s="45" t="n"/>
      <c r="H60" s="45" t="n"/>
      <c r="I60" s="45" t="n"/>
      <c r="J60" s="45" t="n"/>
      <c r="K60" s="45" t="n"/>
      <c r="L60" s="45" t="n"/>
      <c r="M60" s="45" t="n"/>
    </row>
    <row r="61" ht="23.85" customHeight="1" s="36">
      <c r="A61" s="46" t="n">
        <v>51</v>
      </c>
      <c r="B61" s="47" t="inlineStr">
        <is>
          <t>Release servo</t>
        </is>
      </c>
      <c r="C61" s="47" t="inlineStr">
        <is>
          <t>Metal-gear digital micro servo, 2.5 kg·cm, 9 g class</t>
        </is>
      </c>
      <c r="D61" s="46" t="n">
        <v>4</v>
      </c>
      <c r="E61" s="48" t="n">
        <v>14</v>
      </c>
      <c r="F61" s="49">
        <f>D61*E61</f>
        <v/>
      </c>
      <c r="G61" s="50" t="n">
        <v>900</v>
      </c>
      <c r="H61" s="50">
        <f>D61*G61</f>
        <v/>
      </c>
      <c r="I61" s="51" t="n"/>
      <c r="J61" s="47" t="inlineStr">
        <is>
          <t>Generic</t>
        </is>
      </c>
      <c r="K61" s="46" t="inlineStr">
        <is>
          <t>1 wk</t>
        </is>
      </c>
      <c r="L61" s="47" t="inlineStr">
        <is>
          <t>One per magazine station. Sizing §10: release must be gated on AGL 6 m and groundspeed &lt;0.3 m/s.</t>
        </is>
      </c>
      <c r="M61" s="47" t="inlineStr">
        <is>
          <t>Single servo + carousel: -40 g, one failure loses all kits</t>
        </is>
      </c>
    </row>
    <row r="62" ht="23.85" customHeight="1" s="36">
      <c r="A62" s="46" t="n">
        <v>52</v>
      </c>
      <c r="B62" s="47" t="inlineStr">
        <is>
          <t>Magazine housing</t>
        </is>
      </c>
      <c r="C62" s="47" t="inlineStr">
        <is>
          <t>3D-printed PETG rails, 4 stations, 200x100x50 mm each</t>
        </is>
      </c>
      <c r="D62" s="46" t="n">
        <v>1</v>
      </c>
      <c r="E62" s="48" t="n">
        <v>120</v>
      </c>
      <c r="F62" s="49">
        <f>D62*E62</f>
        <v/>
      </c>
      <c r="G62" s="50" t="n">
        <v>900</v>
      </c>
      <c r="H62" s="50">
        <f>D62*G62</f>
        <v/>
      </c>
      <c r="I62" s="51" t="n"/>
      <c r="J62" s="47" t="inlineStr">
        <is>
          <t>In-house 3D print</t>
        </is>
      </c>
      <c r="K62" s="46" t="inlineStr">
        <is>
          <t>1 wk</t>
        </is>
      </c>
      <c r="L62" s="47" t="inlineStr">
        <is>
          <t>Sizing §13: mount on the CG axis. Releasing 200 g at 50 mm offset shifts CG 2 mm — small, but it is a STEP input to the attitude loop.</t>
        </is>
      </c>
      <c r="M62" s="47" t="inlineStr">
        <is>
          <t>CF plate + printed rails, -30 g</t>
        </is>
      </c>
    </row>
    <row r="63" ht="23.85" customHeight="1" s="36">
      <c r="A63" s="46" t="n">
        <v>53</v>
      </c>
      <c r="B63" s="47" t="inlineStr">
        <is>
          <t>Positive-lock detent</t>
        </is>
      </c>
      <c r="C63" s="47" t="inlineStr">
        <is>
          <t>Spring detent + mechanical catch, independent of servo power</t>
        </is>
      </c>
      <c r="D63" s="46" t="n">
        <v>4</v>
      </c>
      <c r="E63" s="48" t="n">
        <v>9</v>
      </c>
      <c r="F63" s="49">
        <f>D63*E63</f>
        <v/>
      </c>
      <c r="G63" s="50" t="n">
        <v>300</v>
      </c>
      <c r="H63" s="50">
        <f>D63*G63</f>
        <v/>
      </c>
      <c r="I63" s="51" t="n"/>
      <c r="J63" s="47" t="inlineStr">
        <is>
          <t>In-house</t>
        </is>
      </c>
      <c r="K63" s="46" t="inlineStr">
        <is>
          <t>1 wk</t>
        </is>
      </c>
      <c r="L63" s="47" t="inlineStr">
        <is>
          <t>CRITICAL SAFETY ITEM. A brownout or servo failure must not release a kit. Independent mechanical retention is a requirement, not an option.</t>
        </is>
      </c>
      <c r="M63" s="47" t="inlineStr">
        <is>
          <t>None — unacceptable</t>
        </is>
      </c>
    </row>
    <row r="64" ht="23.85" customHeight="1" s="36">
      <c r="A64" s="46" t="n">
        <v>54</v>
      </c>
      <c r="B64" s="47" t="inlineStr">
        <is>
          <t>Release confirmation switch</t>
        </is>
      </c>
      <c r="C64" s="47" t="inlineStr">
        <is>
          <t>Micro lever switch, per station</t>
        </is>
      </c>
      <c r="D64" s="46" t="n">
        <v>4</v>
      </c>
      <c r="E64" s="48" t="n">
        <v>4</v>
      </c>
      <c r="F64" s="49">
        <f>D64*E64</f>
        <v/>
      </c>
      <c r="G64" s="50" t="n">
        <v>180</v>
      </c>
      <c r="H64" s="50">
        <f>D64*G64</f>
        <v/>
      </c>
      <c r="I64" s="51" t="n"/>
      <c r="J64" s="47" t="inlineStr">
        <is>
          <t>Generic</t>
        </is>
      </c>
      <c r="K64" s="46" t="inlineStr">
        <is>
          <t>1 wk</t>
        </is>
      </c>
      <c r="L64" s="47" t="inlineStr">
        <is>
          <t>Feeds per-drone delivery status to the GCS, which rule C11 requires displayed.</t>
        </is>
      </c>
      <c r="M64" s="47" t="inlineStr">
        <is>
          <t>Servo current sensing</t>
        </is>
      </c>
    </row>
    <row r="65" ht="23.85" customHeight="1" s="36">
      <c r="A65" s="46" t="n">
        <v>55</v>
      </c>
      <c r="B65" s="47" t="inlineStr">
        <is>
          <t>Servo signal harness</t>
        </is>
      </c>
      <c r="C65" s="47" t="inlineStr">
        <is>
          <t>PWM from FC AUX outputs, 4 channels</t>
        </is>
      </c>
      <c r="D65" s="46" t="n">
        <v>1</v>
      </c>
      <c r="E65" s="48" t="n">
        <v>15</v>
      </c>
      <c r="F65" s="49">
        <f>D65*E65</f>
        <v/>
      </c>
      <c r="G65" s="50" t="n">
        <v>250</v>
      </c>
      <c r="H65" s="50">
        <f>D65*G65</f>
        <v/>
      </c>
      <c r="I65" s="51" t="n"/>
      <c r="J65" s="47" t="inlineStr">
        <is>
          <t>Generic</t>
        </is>
      </c>
      <c r="K65" s="46" t="inlineStr">
        <is>
          <t>1 wk</t>
        </is>
      </c>
      <c r="L65" s="47" t="inlineStr">
        <is>
          <t>Route through the FC so the arming state gates the release.</t>
        </is>
      </c>
      <c r="M65" s="47" t="inlineStr">
        <is>
          <t>Direct from companion GPIO — loses the arming interlock</t>
        </is>
      </c>
    </row>
    <row r="66" ht="15" customHeight="1" s="36">
      <c r="A66" t="inlineStr">
        <is>
          <t>SAFETY — recovery parachute (SYS-41)</t>
        </is>
      </c>
    </row>
    <row r="67">
      <c r="A67" t="n">
        <v>56</v>
      </c>
      <c r="B67" t="inlineStr">
        <is>
          <t>Recovery parachute</t>
        </is>
      </c>
      <c r="C67" t="inlineStr">
        <is>
          <t>Ballistic/CO2 or spring canopy for 6 kg AUW, &lt;20 m deployment</t>
        </is>
      </c>
      <c r="D67" t="n">
        <v>1</v>
      </c>
      <c r="E67" t="n">
        <v>240</v>
      </c>
      <c r="F67">
        <f>D67*E67</f>
        <v/>
      </c>
      <c r="G67" t="n">
        <v>12000</v>
      </c>
      <c r="H67">
        <f>D67*G67</f>
        <v/>
      </c>
      <c r="J67" t="inlineStr">
        <is>
          <t>UAV parachute supplier</t>
        </is>
      </c>
      <c r="K67" t="inlineStr">
        <is>
          <t>3-4 wk</t>
        </is>
      </c>
      <c r="L67" t="inlineStr">
        <is>
          <t>SYS-41. Organisers confirmed a recovery parachute is permitted, ballistic/CO2 included. A crash costs -50; landing outside the pad costs -10, so deploying is worth ~40 points even accepting the penalty. Armed above 20 m, inhibited below (it cannot inflate lower).</t>
        </is>
      </c>
      <c r="M67" t="inlineStr">
        <is>
          <t>Spring-deployed unit if pyro is restricted</t>
        </is>
      </c>
    </row>
    <row r="68">
      <c r="A68" t="n">
        <v>57</v>
      </c>
      <c r="B68" t="inlineStr">
        <is>
          <t>Parachute mount + bridle</t>
        </is>
      </c>
      <c r="C68" t="inlineStr">
        <is>
          <t>Top-centre mount, Kevlar bridle, clear deployment cone</t>
        </is>
      </c>
      <c r="D68" t="n">
        <v>1</v>
      </c>
      <c r="E68" t="n">
        <v>60</v>
      </c>
      <c r="F68">
        <f>D68*E68</f>
        <v/>
      </c>
      <c r="G68" t="n">
        <v>1500</v>
      </c>
      <c r="H68">
        <f>D68*G68</f>
        <v/>
      </c>
      <c r="J68" t="inlineStr">
        <is>
          <t>In-house</t>
        </is>
      </c>
      <c r="K68" t="inlineStr">
        <is>
          <t>1 wk</t>
        </is>
      </c>
      <c r="L68" t="inlineStr">
        <is>
          <t>Must be designed into the frame, not retrofitted: a bolted-on mount fouls a prop or fires into an arm. Top-centre, clear deployment cone. See frame-design-constraints.md item 5.</t>
        </is>
      </c>
      <c r="M68" t="inlineStr">
        <is>
          <t>None</t>
        </is>
      </c>
    </row>
    <row r="69">
      <c r="B69" s="41" t="inlineStr">
        <is>
          <t>TOTAL</t>
        </is>
      </c>
      <c r="F69" s="52">
        <f>SUM(F5:F68)</f>
        <v/>
      </c>
      <c r="H69" s="53">
        <f>SUM(H5:H68)</f>
        <v/>
      </c>
      <c r="I69" s="54">
        <f>SUM(I5:I68)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5" min="1" max="1"/>
    <col width="26" customWidth="1" style="35" min="2" max="2"/>
    <col width="34" customWidth="1" style="35" min="3" max="3"/>
    <col width="6" customWidth="1" style="35" min="4" max="4"/>
    <col width="12" customWidth="1" style="35" min="5" max="5"/>
    <col width="13" customWidth="1" style="35" min="6" max="6"/>
    <col width="14" customWidth="1" style="35" min="7" max="8"/>
    <col width="13" customWidth="1" style="35" min="9" max="9"/>
    <col width="22" customWidth="1" style="35" min="10" max="10"/>
    <col width="11" customWidth="1" style="35" min="11" max="11"/>
    <col width="58" customWidth="1" style="35" min="12" max="12"/>
    <col width="34" customWidth="1" style="35" min="13" max="13"/>
  </cols>
  <sheetData>
    <row r="1" ht="17.35" customHeight="1" s="36">
      <c r="A1" s="37" t="inlineStr">
        <is>
          <t>02 — PAYLOAD, KITS AND GROUND-TRUTH TARGETS (fleet quantities)</t>
        </is>
      </c>
    </row>
    <row r="2" ht="15" customHeight="1" s="36">
      <c r="A2" s="38" t="inlineStr">
        <is>
          <t>Fleet-level quantities, not per aircraft. Kit mass and dimensions are fixed by rule C6.</t>
        </is>
      </c>
    </row>
    <row r="3" ht="26.85" customHeight="1" s="36">
      <c r="A3" s="43" t="inlineStr">
        <is>
          <t>#</t>
        </is>
      </c>
      <c r="B3" s="43" t="inlineStr">
        <is>
          <t>Component</t>
        </is>
      </c>
      <c r="C3" s="43" t="inlineStr">
        <is>
          <t>Specification / Part</t>
        </is>
      </c>
      <c r="D3" s="43" t="inlineStr">
        <is>
          <t>Qty</t>
        </is>
      </c>
      <c r="E3" s="43" t="inlineStr">
        <is>
          <t>Unit Mass (g)</t>
        </is>
      </c>
      <c r="F3" s="43" t="inlineStr">
        <is>
          <t>Total Mass (g)</t>
        </is>
      </c>
      <c r="G3" s="43" t="inlineStr">
        <is>
          <t>Unit Price (INR)</t>
        </is>
      </c>
      <c r="H3" s="43" t="inlineStr">
        <is>
          <t>Ext. Price (INR)</t>
        </is>
      </c>
      <c r="I3" s="43" t="inlineStr">
        <is>
          <t>Actual Mass (g)</t>
        </is>
      </c>
      <c r="J3" s="43" t="inlineStr">
        <is>
          <t>Supplier / Source</t>
        </is>
      </c>
      <c r="K3" s="43" t="inlineStr">
        <is>
          <t>Lead Time</t>
        </is>
      </c>
      <c r="L3" s="43" t="inlineStr">
        <is>
          <t>Why this part / sizing reference</t>
        </is>
      </c>
      <c r="M3" s="43" t="inlineStr">
        <is>
          <t>Alternative</t>
        </is>
      </c>
    </row>
    <row r="4" ht="15" customHeight="1" s="36">
      <c r="A4" s="44" t="inlineStr">
        <is>
          <t>SURVIVOR KITS — rule C6: exactly 200 g, 200 x 100 x 50 mm rigid rectangular box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</row>
    <row r="5" ht="23.85" customHeight="1" s="36">
      <c r="A5" s="46" t="n">
        <v>1</v>
      </c>
      <c r="B5" s="47" t="inlineStr">
        <is>
          <t>Kit outer box</t>
        </is>
      </c>
      <c r="C5" s="47" t="inlineStr">
        <is>
          <t>Rigid ABS/corrugated PP, 200x100x50 mm, sealed, high-visibility orange</t>
        </is>
      </c>
      <c r="D5" s="46" t="n">
        <v>14</v>
      </c>
      <c r="E5" s="48" t="n">
        <v>55</v>
      </c>
      <c r="F5" s="49">
        <f>D5*E5</f>
        <v/>
      </c>
      <c r="G5" s="50" t="n">
        <v>180</v>
      </c>
      <c r="H5" s="50">
        <f>D5*G5</f>
        <v/>
      </c>
      <c r="I5" s="51" t="n"/>
      <c r="J5" s="47" t="inlineStr">
        <is>
          <t>Local fabricator</t>
        </is>
      </c>
      <c r="K5" s="46" t="inlineStr">
        <is>
          <t>2 wk</t>
        </is>
      </c>
      <c r="L5" s="47" t="inlineStr">
        <is>
          <t>Rule C6 fixes the dimensions. 14 built for 12 flown (3 aircraft x 4) plus 2 spares. Sizing §10: must survive a 9.7 m/s impact.</t>
        </is>
      </c>
      <c r="M5" s="47" t="inlineStr">
        <is>
          <t>3D-printed shell; heavier, slower to produce</t>
        </is>
      </c>
    </row>
    <row r="6" ht="23.85" customHeight="1" s="36">
      <c r="A6" s="46" t="n">
        <v>2</v>
      </c>
      <c r="B6" s="47" t="inlineStr">
        <is>
          <t>Impact padding</t>
        </is>
      </c>
      <c r="C6" s="47" t="inlineStr">
        <is>
          <t>Closed-cell EVA foam liner, 8 mm</t>
        </is>
      </c>
      <c r="D6" s="46" t="n">
        <v>14</v>
      </c>
      <c r="E6" s="48" t="n">
        <v>18</v>
      </c>
      <c r="F6" s="49">
        <f>D6*E6</f>
        <v/>
      </c>
      <c r="G6" s="50" t="n">
        <v>60</v>
      </c>
      <c r="H6" s="50">
        <f>D6*G6</f>
        <v/>
      </c>
      <c r="I6" s="51" t="n"/>
      <c r="J6" s="47" t="inlineStr">
        <is>
          <t>Local</t>
        </is>
      </c>
      <c r="K6" s="46" t="inlineStr">
        <is>
          <t>1 wk</t>
        </is>
      </c>
      <c r="L6" s="47" t="inlineStr">
        <is>
          <t>Sizing §10: impact speed 9.7 m/s from a 6 m release. Foam protects contents and reduces bounce.</t>
        </is>
      </c>
      <c r="M6" s="47" t="inlineStr">
        <is>
          <t>Bubble wrap — poor repeatability</t>
        </is>
      </c>
    </row>
    <row r="7" ht="23.85" customHeight="1" s="36">
      <c r="A7" s="46" t="n">
        <v>3</v>
      </c>
      <c r="B7" s="47" t="inlineStr">
        <is>
          <t>Kit contents</t>
        </is>
      </c>
      <c r="C7" s="47" t="inlineStr">
        <is>
          <t>Bandage roll, ORS sachets, whistle, glow stick, emergency blanket, water pouch</t>
        </is>
      </c>
      <c r="D7" s="46" t="n">
        <v>14</v>
      </c>
      <c r="E7" s="48" t="n">
        <v>110</v>
      </c>
      <c r="F7" s="49">
        <f>D7*E7</f>
        <v/>
      </c>
      <c r="G7" s="50" t="n">
        <v>220</v>
      </c>
      <c r="H7" s="50">
        <f>D7*G7</f>
        <v/>
      </c>
      <c r="I7" s="51" t="n"/>
      <c r="J7" s="47" t="inlineStr">
        <is>
          <t>Pharmacy / local</t>
        </is>
      </c>
      <c r="K7" s="46" t="inlineStr">
        <is>
          <t>1 wk</t>
        </is>
      </c>
      <c r="L7" s="47" t="inlineStr">
        <is>
          <t>Contents must total exactly 200 g with the box and padding. Ballast to trim to spec, then weigh each kit individually.</t>
        </is>
      </c>
      <c r="M7" s="47" t="inlineStr">
        <is>
          <t>Ballast-only dummy kits for test flying — build 20 of these</t>
        </is>
      </c>
    </row>
    <row r="8" ht="23.85" customHeight="1" s="36">
      <c r="A8" s="46" t="n">
        <v>4</v>
      </c>
      <c r="B8" s="47" t="inlineStr">
        <is>
          <t>Trim ballast</t>
        </is>
      </c>
      <c r="C8" s="47" t="inlineStr">
        <is>
          <t>Lead/steel shot in a sealed sachet, to bring each kit to 200.0 g</t>
        </is>
      </c>
      <c r="D8" s="46" t="n">
        <v>14</v>
      </c>
      <c r="E8" s="48" t="n">
        <v>17</v>
      </c>
      <c r="F8" s="49">
        <f>D8*E8</f>
        <v/>
      </c>
      <c r="G8" s="50" t="n">
        <v>20</v>
      </c>
      <c r="H8" s="50">
        <f>D8*G8</f>
        <v/>
      </c>
      <c r="I8" s="51" t="n"/>
      <c r="J8" s="47" t="inlineStr">
        <is>
          <t>Local</t>
        </is>
      </c>
      <c r="K8" s="46" t="inlineStr">
        <is>
          <t>1 wk</t>
        </is>
      </c>
      <c r="L8" s="47" t="inlineStr">
        <is>
          <t>Rule C6 is exact. Weigh on a 0.1 g scale and record per kit.</t>
        </is>
      </c>
      <c r="M8" s="47" t="inlineStr">
        <is>
          <t>—</t>
        </is>
      </c>
    </row>
    <row r="9" ht="23.85" customHeight="1" s="36">
      <c r="A9" s="46" t="n">
        <v>5</v>
      </c>
      <c r="B9" s="47" t="inlineStr">
        <is>
          <t>Test dummy kits</t>
        </is>
      </c>
      <c r="C9" s="47" t="inlineStr">
        <is>
          <t>Ballast-only boxes to the same mass and dimensions, for drop testing</t>
        </is>
      </c>
      <c r="D9" s="46" t="n">
        <v>24</v>
      </c>
      <c r="E9" s="48" t="n">
        <v>200</v>
      </c>
      <c r="F9" s="49">
        <f>D9*E9</f>
        <v/>
      </c>
      <c r="G9" s="50" t="n">
        <v>150</v>
      </c>
      <c r="H9" s="50">
        <f>D9*G9</f>
        <v/>
      </c>
      <c r="I9" s="51" t="n"/>
      <c r="J9" s="47" t="inlineStr">
        <is>
          <t>In-house</t>
        </is>
      </c>
      <c r="K9" s="46" t="inlineStr">
        <is>
          <t>1 wk</t>
        </is>
      </c>
      <c r="L9" s="47" t="inlineStr">
        <is>
          <t>Development Plan P8 requires ≥30 instrumented drops. Do not consume real kits in testing.</t>
        </is>
      </c>
      <c r="M9" s="47" t="inlineStr">
        <is>
          <t>Reuse real kits — risks contamination and wear</t>
        </is>
      </c>
    </row>
    <row r="10" ht="15" customHeight="1" s="36">
      <c r="A10" s="44" t="inlineStr">
        <is>
          <t>GROUND-TRUTH TARGETS (for the P7 detection and P8 delivery campaigns)</t>
        </is>
      </c>
      <c r="B10" s="45" t="n"/>
      <c r="C10" s="45" t="n"/>
      <c r="D10" s="45" t="n"/>
      <c r="E10" s="45" t="n"/>
      <c r="F10" s="45" t="n"/>
      <c r="G10" s="45" t="n"/>
      <c r="H10" s="45" t="n"/>
      <c r="I10" s="45" t="n"/>
      <c r="J10" s="45" t="n"/>
      <c r="K10" s="45" t="n"/>
      <c r="L10" s="45" t="n"/>
      <c r="M10" s="45" t="n"/>
    </row>
    <row r="11" ht="23.85" customHeight="1" s="36">
      <c r="A11" s="46" t="n">
        <v>6</v>
      </c>
      <c r="B11" s="47" t="inlineStr">
        <is>
          <t>Survivor mannequin</t>
        </is>
      </c>
      <c r="C11" s="47" t="inlineStr">
        <is>
          <t>Human-size dummy, articulable to supine/prone/seated, weather-tolerant</t>
        </is>
      </c>
      <c r="D11" s="46" t="n">
        <v>6</v>
      </c>
      <c r="E11" s="48" t="n">
        <v>4000</v>
      </c>
      <c r="F11" s="49">
        <f>D11*E11</f>
        <v/>
      </c>
      <c r="G11" s="50" t="n">
        <v>3500</v>
      </c>
      <c r="H11" s="50">
        <f>D11*G11</f>
        <v/>
      </c>
      <c r="I11" s="51" t="n"/>
      <c r="J11" s="47" t="inlineStr">
        <is>
          <t>Local fabricator</t>
        </is>
      </c>
      <c r="K11" s="46" t="inlineStr">
        <is>
          <t>3 wk</t>
        </is>
      </c>
      <c r="L11" s="47" t="inlineStr">
        <is>
          <t>Development Plan P7: HERIDAL/SARD targets are ~0.1% of frame area in atypical postures. You must train and test against the same.</t>
        </is>
      </c>
      <c r="M11" s="47" t="inlineStr">
        <is>
          <t>Volunteers only — cannot be left in the field between passes</t>
        </is>
      </c>
    </row>
    <row r="12" ht="23.85" customHeight="1" s="36">
      <c r="A12" s="46" t="n">
        <v>7</v>
      </c>
      <c r="B12" s="47" t="inlineStr">
        <is>
          <t>Target clothing set</t>
        </is>
      </c>
      <c r="C12" s="47" t="inlineStr">
        <is>
          <t>Varied colour/contrast sets, incl. low-contrast earth tones</t>
        </is>
      </c>
      <c r="D12" s="46" t="n">
        <v>6</v>
      </c>
      <c r="E12" s="48" t="n">
        <v>400</v>
      </c>
      <c r="F12" s="49">
        <f>D12*E12</f>
        <v/>
      </c>
      <c r="G12" s="50" t="n">
        <v>600</v>
      </c>
      <c r="H12" s="50">
        <f>D12*G12</f>
        <v/>
      </c>
      <c r="I12" s="51" t="n"/>
      <c r="J12" s="47" t="inlineStr">
        <is>
          <t>Local</t>
        </is>
      </c>
      <c r="K12" s="46" t="inlineStr">
        <is>
          <t>1 wk</t>
        </is>
      </c>
      <c r="L12" s="47" t="inlineStr">
        <is>
          <t>Prevents the model from learning "bright clothing" as the detection cue.</t>
        </is>
      </c>
      <c r="M12" s="47" t="inlineStr">
        <is>
          <t>—</t>
        </is>
      </c>
    </row>
    <row r="13" ht="23.85" customHeight="1" s="36">
      <c r="A13" s="46" t="n">
        <v>8</v>
      </c>
      <c r="B13" s="47" t="inlineStr">
        <is>
          <t>Drop-zone target mat</t>
        </is>
      </c>
      <c r="C13" s="47" t="inlineStr">
        <is>
          <t>5 m marked concentric-ring mat with a surveyed centre</t>
        </is>
      </c>
      <c r="D13" s="46" t="n">
        <v>3</v>
      </c>
      <c r="E13" s="48" t="n">
        <v>2500</v>
      </c>
      <c r="F13" s="49">
        <f>D13*E13</f>
        <v/>
      </c>
      <c r="G13" s="50" t="n">
        <v>2500</v>
      </c>
      <c r="H13" s="50">
        <f>D13*G13</f>
        <v/>
      </c>
      <c r="I13" s="51" t="n"/>
      <c r="J13" s="47" t="inlineStr">
        <is>
          <t>Local fabricator</t>
        </is>
      </c>
      <c r="K13" s="46" t="inlineStr">
        <is>
          <t>2 wk</t>
        </is>
      </c>
      <c r="L13" s="47" t="inlineStr">
        <is>
          <t>Measures delivery CEP directly (Sizing §10 target: ≤3 m CEP).</t>
        </is>
      </c>
      <c r="M13" s="47" t="inlineStr">
        <is>
          <t>Chalk circles — not reusable in wind</t>
        </is>
      </c>
    </row>
    <row r="14" ht="35.05" customHeight="1" s="36">
      <c r="A14" s="46" t="n">
        <v>9</v>
      </c>
      <c r="B14" s="47" t="inlineStr">
        <is>
          <t>Surveyed ground markers</t>
        </is>
      </c>
      <c r="C14" s="47" t="inlineStr">
        <is>
          <t>High-contrast 600 mm checkerboard/AprilTag panels, positions surveyed with RTK</t>
        </is>
      </c>
      <c r="D14" s="46" t="n">
        <v>12</v>
      </c>
      <c r="E14" s="48" t="n">
        <v>300</v>
      </c>
      <c r="F14" s="49">
        <f>D14*E14</f>
        <v/>
      </c>
      <c r="G14" s="50" t="n">
        <v>450</v>
      </c>
      <c r="H14" s="50">
        <f>D14*G14</f>
        <v/>
      </c>
      <c r="I14" s="51" t="n"/>
      <c r="J14" s="47" t="inlineStr">
        <is>
          <t>In-house + RTK survey</t>
        </is>
      </c>
      <c r="K14" s="46" t="inlineStr">
        <is>
          <t>1 wk</t>
        </is>
      </c>
      <c r="L14" s="47" t="inlineStr">
        <is>
          <t>Sizing §11: boresight and lever-arm calibration is SYSTEMATIC error correction — it does not average out. These markers are how you do it.</t>
        </is>
      </c>
      <c r="M14" s="47" t="inlineStr">
        <is>
          <t>None — then you cannot claim any geotag accuracy</t>
        </is>
      </c>
    </row>
    <row r="15" ht="15" customHeight="1" s="36">
      <c r="B15" s="41" t="inlineStr">
        <is>
          <t>TOTAL</t>
        </is>
      </c>
      <c r="F15" s="52">
        <f>SUM(F5:F14)</f>
        <v/>
      </c>
      <c r="H15" s="53">
        <f>SUM(H5:H14)</f>
        <v/>
      </c>
      <c r="I15" s="54">
        <f>SUM(I5:I14)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5" min="1" max="1"/>
    <col width="26" customWidth="1" style="35" min="2" max="2"/>
    <col width="34" customWidth="1" style="35" min="3" max="3"/>
    <col width="6" customWidth="1" style="35" min="4" max="4"/>
    <col width="12" customWidth="1" style="35" min="5" max="5"/>
    <col width="13" customWidth="1" style="35" min="6" max="6"/>
    <col width="14" customWidth="1" style="35" min="7" max="8"/>
    <col width="13" customWidth="1" style="35" min="9" max="9"/>
    <col width="22" customWidth="1" style="35" min="10" max="10"/>
    <col width="11" customWidth="1" style="35" min="11" max="11"/>
    <col width="58" customWidth="1" style="35" min="12" max="12"/>
    <col width="34" customWidth="1" style="35" min="13" max="13"/>
  </cols>
  <sheetData>
    <row r="1" ht="17.35" customHeight="1" s="36">
      <c r="A1" s="37" t="inlineStr">
        <is>
          <t>03 — GROUND SEGMENT AND FIELD INFRASTRUCTURE</t>
        </is>
      </c>
    </row>
    <row r="2" ht="15" customHeight="1" s="36">
      <c r="A2" s="38" t="inlineStr">
        <is>
          <t>One set for the whole programme. Rule C10 allows exactly one Ground Control Station.</t>
        </is>
      </c>
    </row>
    <row r="3" ht="26.85" customHeight="1" s="36">
      <c r="A3" s="43" t="inlineStr">
        <is>
          <t>#</t>
        </is>
      </c>
      <c r="B3" s="43" t="inlineStr">
        <is>
          <t>Component</t>
        </is>
      </c>
      <c r="C3" s="43" t="inlineStr">
        <is>
          <t>Specification / Part</t>
        </is>
      </c>
      <c r="D3" s="43" t="inlineStr">
        <is>
          <t>Qty</t>
        </is>
      </c>
      <c r="E3" s="43" t="inlineStr">
        <is>
          <t>Unit Mass (g)</t>
        </is>
      </c>
      <c r="F3" s="43" t="inlineStr">
        <is>
          <t>Total Mass (g)</t>
        </is>
      </c>
      <c r="G3" s="43" t="inlineStr">
        <is>
          <t>Unit Price (INR)</t>
        </is>
      </c>
      <c r="H3" s="43" t="inlineStr">
        <is>
          <t>Ext. Price (INR)</t>
        </is>
      </c>
      <c r="I3" s="43" t="inlineStr">
        <is>
          <t>Actual Mass (g)</t>
        </is>
      </c>
      <c r="J3" s="43" t="inlineStr">
        <is>
          <t>Supplier / Source</t>
        </is>
      </c>
      <c r="K3" s="43" t="inlineStr">
        <is>
          <t>Lead Time</t>
        </is>
      </c>
      <c r="L3" s="43" t="inlineStr">
        <is>
          <t>Why this part / sizing reference</t>
        </is>
      </c>
      <c r="M3" s="43" t="inlineStr">
        <is>
          <t>Alternative</t>
        </is>
      </c>
    </row>
    <row r="4" ht="15" customHeight="1" s="36">
      <c r="A4" s="44" t="inlineStr">
        <is>
          <t>GROUND CONTROL STATION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</row>
    <row r="5" ht="23.85" customHeight="1" s="36">
      <c r="A5" s="46" t="n">
        <v>1</v>
      </c>
      <c r="B5" s="47" t="inlineStr">
        <is>
          <t>GCS laptop</t>
        </is>
      </c>
      <c r="C5" s="47" t="inlineStr">
        <is>
          <t>16 GB RAM, discrete GPU, 1 TB SSD, sunlight-readable or shaded</t>
        </is>
      </c>
      <c r="D5" s="46" t="n">
        <v>1</v>
      </c>
      <c r="E5" s="48" t="n">
        <v>2200</v>
      </c>
      <c r="F5" s="49">
        <f>D5*E5</f>
        <v/>
      </c>
      <c r="G5" s="50" t="n">
        <v>110000</v>
      </c>
      <c r="H5" s="50">
        <f>D5*G5</f>
        <v/>
      </c>
      <c r="I5" s="51" t="n"/>
      <c r="J5" s="47" t="inlineStr">
        <is>
          <t>Any</t>
        </is>
      </c>
      <c r="K5" s="46" t="inlineStr">
        <is>
          <t>2 wk</t>
        </is>
      </c>
      <c r="L5" s="47" t="inlineStr">
        <is>
          <t>Runs the custom GCS, MAVLink router, mesh node and video decode. Rule C10 permits exactly ONE GCS.</t>
        </is>
      </c>
      <c r="M5" s="47" t="inlineStr">
        <is>
          <t>Ruggedised tablet — smaller screen hurts the C11 display requirement</t>
        </is>
      </c>
    </row>
    <row r="6" ht="23.85" customHeight="1" s="36">
      <c r="A6" s="46" t="n">
        <v>2</v>
      </c>
      <c r="B6" s="47" t="inlineStr">
        <is>
          <t>Backup laptop</t>
        </is>
      </c>
      <c r="C6" s="47" t="inlineStr">
        <is>
          <t>Cloned image of the GCS, ready to swap</t>
        </is>
      </c>
      <c r="D6" s="46" t="n">
        <v>1</v>
      </c>
      <c r="E6" s="48" t="n">
        <v>2200</v>
      </c>
      <c r="F6" s="49">
        <f>D6*E6</f>
        <v/>
      </c>
      <c r="G6" s="50" t="n">
        <v>90000</v>
      </c>
      <c r="H6" s="50">
        <f>D6*G6</f>
        <v/>
      </c>
      <c r="I6" s="51" t="n"/>
      <c r="J6" s="47" t="inlineStr">
        <is>
          <t>Any</t>
        </is>
      </c>
      <c r="K6" s="46" t="inlineStr">
        <is>
          <t>2 wk</t>
        </is>
      </c>
      <c r="L6" s="47" t="inlineStr">
        <is>
          <t>A GCS failure ends the mission. Clone it and keep it powered in the field box.</t>
        </is>
      </c>
      <c r="M6" s="47" t="inlineStr">
        <is>
          <t>None — unacceptable risk</t>
        </is>
      </c>
    </row>
    <row r="7" ht="23.85" customHeight="1" s="36">
      <c r="A7" s="46" t="n">
        <v>3</v>
      </c>
      <c r="B7" s="47" t="inlineStr">
        <is>
          <t>Sun shade / hood</t>
        </is>
      </c>
      <c r="C7" s="47" t="inlineStr">
        <is>
          <t>Laptop hood for outdoor daylight (rule C15)</t>
        </is>
      </c>
      <c r="D7" s="46" t="n">
        <v>1</v>
      </c>
      <c r="E7" s="48" t="n">
        <v>600</v>
      </c>
      <c r="F7" s="49">
        <f>D7*E7</f>
        <v/>
      </c>
      <c r="G7" s="50" t="n">
        <v>3500</v>
      </c>
      <c r="H7" s="50">
        <f>D7*G7</f>
        <v/>
      </c>
      <c r="I7" s="51" t="n"/>
      <c r="J7" s="47" t="inlineStr">
        <is>
          <t>Generic</t>
        </is>
      </c>
      <c r="K7" s="46" t="inlineStr">
        <is>
          <t>1 wk</t>
        </is>
      </c>
      <c r="L7" s="47" t="inlineStr">
        <is>
          <t>You cannot read a laptop screen in Indian midday sun. Judges will be watching this screen.</t>
        </is>
      </c>
      <c r="M7" s="47" t="inlineStr">
        <is>
          <t>Canopy tent shade</t>
        </is>
      </c>
    </row>
    <row r="8" ht="23.85" customHeight="1" s="36">
      <c r="A8" s="46" t="n">
        <v>4</v>
      </c>
      <c r="B8" s="47" t="inlineStr">
        <is>
          <t>External monitor</t>
        </is>
      </c>
      <c r="C8" s="47" t="inlineStr">
        <is>
          <t>15 in portable, for the judge/observer view</t>
        </is>
      </c>
      <c r="D8" s="46" t="n">
        <v>1</v>
      </c>
      <c r="E8" s="48" t="n">
        <v>900</v>
      </c>
      <c r="F8" s="49">
        <f>D8*E8</f>
        <v/>
      </c>
      <c r="G8" s="50" t="n">
        <v>18000</v>
      </c>
      <c r="H8" s="50">
        <f>D8*G8</f>
        <v/>
      </c>
      <c r="I8" s="51" t="n"/>
      <c r="J8" s="47" t="inlineStr">
        <is>
          <t>Generic</t>
        </is>
      </c>
      <c r="K8" s="46" t="inlineStr">
        <is>
          <t>2 wk</t>
        </is>
      </c>
      <c r="L8" s="47" t="inlineStr">
        <is>
          <t>Lets evaluators see the mission without crowding the operator.</t>
        </is>
      </c>
      <c r="M8" s="47" t="inlineStr">
        <is>
          <t>Screen-share to a tablet</t>
        </is>
      </c>
    </row>
    <row r="9" ht="15" customHeight="1" s="36">
      <c r="A9" s="44" t="inlineStr">
        <is>
          <t>MESH GROUND NODE</t>
        </is>
      </c>
      <c r="B9" s="45" t="n"/>
      <c r="C9" s="45" t="n"/>
      <c r="D9" s="45" t="n"/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</row>
    <row r="10" ht="23.85" customHeight="1" s="36">
      <c r="A10" s="46" t="n">
        <v>5</v>
      </c>
      <c r="B10" s="47" t="inlineStr">
        <is>
          <t>Ground mesh node</t>
        </is>
      </c>
      <c r="C10" s="47" t="inlineStr">
        <is>
          <t>Same radio as the air nodes, in a weatherproof enclosure</t>
        </is>
      </c>
      <c r="D10" s="46" t="n">
        <v>1</v>
      </c>
      <c r="E10" s="48" t="n">
        <v>450</v>
      </c>
      <c r="F10" s="49">
        <f>D10*E10</f>
        <v/>
      </c>
      <c r="G10" s="50" t="n">
        <v>8500</v>
      </c>
      <c r="H10" s="50">
        <f>D10*G10</f>
        <v/>
      </c>
      <c r="I10" s="51" t="n"/>
      <c r="J10" s="47" t="inlineStr">
        <is>
          <t>Generic</t>
        </is>
      </c>
      <c r="K10" s="46" t="inlineStr">
        <is>
          <t>1-2 wk</t>
        </is>
      </c>
      <c r="L10" s="47" t="inlineStr">
        <is>
          <t>Sizing §12: 24 dBm Tx.</t>
        </is>
      </c>
      <c r="M10" s="47" t="inlineStr">
        <is>
          <t>Tier B/C to match the airborne tier</t>
        </is>
      </c>
    </row>
    <row r="11" ht="23.85" customHeight="1" s="36">
      <c r="A11" s="46" t="n">
        <v>6</v>
      </c>
      <c r="B11" s="47" t="inlineStr">
        <is>
          <t>Sector antenna</t>
        </is>
      </c>
      <c r="C11" s="47" t="inlineStr">
        <is>
          <t>9 dBi, 5.15-5.9 GHz, 90-120° sector, RP-SMA</t>
        </is>
      </c>
      <c r="D11" s="46" t="n">
        <v>2</v>
      </c>
      <c r="E11" s="48" t="n">
        <v>320</v>
      </c>
      <c r="F11" s="49">
        <f>D11*E11</f>
        <v/>
      </c>
      <c r="G11" s="50" t="n">
        <v>4500</v>
      </c>
      <c r="H11" s="50">
        <f>D11*G11</f>
        <v/>
      </c>
      <c r="I11" s="51" t="n"/>
      <c r="J11" s="47" t="inlineStr">
        <is>
          <t>Generic</t>
        </is>
      </c>
      <c r="K11" s="46" t="inlineStr">
        <is>
          <t>2 wk</t>
        </is>
      </c>
      <c r="L11" s="47" t="inlineStr">
        <is>
          <t>Sizing §12: 9 dBi at the GCS gives 33 dBm EIRP (legal) and 13.7 dB margin at 600 m. Two for spatial diversity.</t>
        </is>
      </c>
      <c r="M11" s="47" t="inlineStr">
        <is>
          <t>Omni 5 dBi: -4 dB margin</t>
        </is>
      </c>
    </row>
    <row r="12" ht="23.85" customHeight="1" s="36">
      <c r="A12" s="46" t="n">
        <v>7</v>
      </c>
      <c r="B12" s="47" t="inlineStr">
        <is>
          <t>Antenna mast</t>
        </is>
      </c>
      <c r="C12" s="47" t="inlineStr">
        <is>
          <t>2 m telescopic mast with tripod and guys</t>
        </is>
      </c>
      <c r="D12" s="46" t="n">
        <v>1</v>
      </c>
      <c r="E12" s="48" t="n">
        <v>3500</v>
      </c>
      <c r="F12" s="49">
        <f>D12*E12</f>
        <v/>
      </c>
      <c r="G12" s="50" t="n">
        <v>6500</v>
      </c>
      <c r="H12" s="50">
        <f>D12*G12</f>
        <v/>
      </c>
      <c r="I12" s="51" t="n"/>
      <c r="J12" s="47" t="inlineStr">
        <is>
          <t>Generic</t>
        </is>
      </c>
      <c r="K12" s="46" t="inlineStr">
        <is>
          <t>2 wk</t>
        </is>
      </c>
      <c r="L12" s="47" t="inlineStr">
        <is>
          <t>Sizing §12: elevating the ground antenna is the cheapest link-margin improvement available. Ground-level antennas lose 6-10 dB to clutter.</t>
        </is>
      </c>
      <c r="M12" s="47" t="inlineStr">
        <is>
          <t>Tripod only, 1.2 m</t>
        </is>
      </c>
    </row>
    <row r="13" ht="15" customHeight="1" s="36">
      <c r="A13" s="46" t="n">
        <v>8</v>
      </c>
      <c r="B13" s="47" t="inlineStr">
        <is>
          <t>Low-loss coax</t>
        </is>
      </c>
      <c r="C13" s="47" t="inlineStr">
        <is>
          <t>LMR-240 or better, 3 m, RP-SMA</t>
        </is>
      </c>
      <c r="D13" s="46" t="n">
        <v>2</v>
      </c>
      <c r="E13" s="48" t="n">
        <v>220</v>
      </c>
      <c r="F13" s="49">
        <f>D13*E13</f>
        <v/>
      </c>
      <c r="G13" s="50" t="n">
        <v>1800</v>
      </c>
      <c r="H13" s="50">
        <f>D13*G13</f>
        <v/>
      </c>
      <c r="I13" s="51" t="n"/>
      <c r="J13" s="47" t="inlineStr">
        <is>
          <t>Generic</t>
        </is>
      </c>
      <c r="K13" s="46" t="inlineStr">
        <is>
          <t>2 wk</t>
        </is>
      </c>
      <c r="L13" s="47" t="inlineStr">
        <is>
          <t>At 5.8 GHz, cheap coax costs 1 dB/m. Keep runs short.</t>
        </is>
      </c>
      <c r="M13" s="47" t="inlineStr">
        <is>
          <t>Mount the radio at the antenna instead</t>
        </is>
      </c>
    </row>
    <row r="14" ht="15" customHeight="1" s="36">
      <c r="A14" s="44" t="inlineStr">
        <is>
          <t>RTK BASE STATION  — DECISION PENDING organiser confirmation (Dev Plan clarification Q1)</t>
        </is>
      </c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  <c r="M14" s="45" t="n"/>
    </row>
    <row r="15" ht="35.05" customHeight="1" s="36">
      <c r="A15" s="46" t="n">
        <v>9</v>
      </c>
      <c r="B15" s="47" t="inlineStr">
        <is>
          <t>RTK base receiver</t>
        </is>
      </c>
      <c r="C15" s="47" t="inlineStr">
        <is>
          <t>u-blox ZED-F9P base kit with survey-grade antenna</t>
        </is>
      </c>
      <c r="D15" s="46" t="n">
        <v>1</v>
      </c>
      <c r="E15" s="48" t="n">
        <v>600</v>
      </c>
      <c r="F15" s="49">
        <f>D15*E15</f>
        <v/>
      </c>
      <c r="G15" s="50" t="n">
        <v>45000</v>
      </c>
      <c r="H15" s="50">
        <f>D15*G15</f>
        <v/>
      </c>
      <c r="I15" s="51" t="n"/>
      <c r="J15" s="47" t="inlineStr">
        <is>
          <t>ArduSimple / Emlid</t>
        </is>
      </c>
      <c r="K15" s="46" t="inlineStr">
        <is>
          <t>4 wk</t>
        </is>
      </c>
      <c r="L15" s="47" t="inlineStr">
        <is>
          <t>Sizing §11: takes geotag CEP50 from 2.54 m to 1.08 m. Corrections travel on the team local link, NOT the internet — but confirm permissibility in writing before relying on it.</t>
        </is>
      </c>
      <c r="M15" s="47" t="inlineStr">
        <is>
          <t>Emlid Reach RS3 (integrated, tripod-ready, ~INR 2.5 L)</t>
        </is>
      </c>
    </row>
    <row r="16" ht="15" customHeight="1" s="36">
      <c r="A16" s="46" t="n">
        <v>10</v>
      </c>
      <c r="B16" s="47" t="inlineStr">
        <is>
          <t>Survey tripod + tribrach</t>
        </is>
      </c>
      <c r="C16" s="47" t="inlineStr">
        <is>
          <t>Fixed-height survey tripod</t>
        </is>
      </c>
      <c r="D16" s="46" t="n">
        <v>1</v>
      </c>
      <c r="E16" s="48" t="n">
        <v>3500</v>
      </c>
      <c r="F16" s="49">
        <f>D16*E16</f>
        <v/>
      </c>
      <c r="G16" s="50" t="n">
        <v>12000</v>
      </c>
      <c r="H16" s="50">
        <f>D16*G16</f>
        <v/>
      </c>
      <c r="I16" s="51" t="n"/>
      <c r="J16" s="47" t="inlineStr">
        <is>
          <t>Survey supplier</t>
        </is>
      </c>
      <c r="K16" s="46" t="inlineStr">
        <is>
          <t>2 wk</t>
        </is>
      </c>
      <c r="L16" s="47" t="inlineStr">
        <is>
          <t>Base position must be stable and repeatable across the test campaign.</t>
        </is>
      </c>
      <c r="M16" s="47" t="inlineStr">
        <is>
          <t>Camera tripod — insufficient rigidity</t>
        </is>
      </c>
    </row>
    <row r="17" ht="23.85" customHeight="1" s="36">
      <c r="A17" s="46" t="n">
        <v>11</v>
      </c>
      <c r="B17" s="47" t="inlineStr">
        <is>
          <t>Base radio link</t>
        </is>
      </c>
      <c r="C17" s="47" t="inlineStr">
        <is>
          <t>868 MHz RTCM link, base to rovers</t>
        </is>
      </c>
      <c r="D17" s="46" t="n">
        <v>1</v>
      </c>
      <c r="E17" s="48" t="n">
        <v>150</v>
      </c>
      <c r="F17" s="49">
        <f>D17*E17</f>
        <v/>
      </c>
      <c r="G17" s="50" t="n">
        <v>9500</v>
      </c>
      <c r="H17" s="50">
        <f>D17*G17</f>
        <v/>
      </c>
      <c r="I17" s="51" t="n"/>
      <c r="J17" s="47" t="inlineStr">
        <is>
          <t>RFDesign</t>
        </is>
      </c>
      <c r="K17" s="46" t="inlineStr">
        <is>
          <t>2-3 wk</t>
        </is>
      </c>
      <c r="L17" s="47" t="inlineStr">
        <is>
          <t>Broadcasts corrections to all three aircraft on a team-owned local link.</t>
        </is>
      </c>
      <c r="M17" s="47" t="inlineStr">
        <is>
          <t>Rebroadcast RTCM over the 5.8 GHz mesh</t>
        </is>
      </c>
    </row>
    <row r="18" ht="15" customHeight="1" s="36">
      <c r="A18" s="44" t="inlineStr">
        <is>
          <t>FIELD POWER &amp; INFRASTRUCTURE</t>
        </is>
      </c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  <c r="L18" s="45" t="n"/>
      <c r="M18" s="45" t="n"/>
    </row>
    <row r="19" ht="23.85" customHeight="1" s="36">
      <c r="A19" s="46" t="n">
        <v>12</v>
      </c>
      <c r="B19" s="47" t="inlineStr">
        <is>
          <t>Portable power station</t>
        </is>
      </c>
      <c r="C19" s="47" t="inlineStr">
        <is>
          <t>1500-2000 Wh LiFePO4 with AC output</t>
        </is>
      </c>
      <c r="D19" s="46" t="n">
        <v>1</v>
      </c>
      <c r="E19" s="48" t="n">
        <v>18000</v>
      </c>
      <c r="F19" s="49">
        <f>D19*E19</f>
        <v/>
      </c>
      <c r="G19" s="50" t="n">
        <v>95000</v>
      </c>
      <c r="H19" s="50">
        <f>D19*G19</f>
        <v/>
      </c>
      <c r="I19" s="51" t="n"/>
      <c r="J19" s="47" t="inlineStr">
        <is>
          <t>Generic</t>
        </is>
      </c>
      <c r="K19" s="46" t="inlineStr">
        <is>
          <t>2 wk</t>
        </is>
      </c>
      <c r="L19" s="47" t="inlineStr">
        <is>
          <t>Charging 3 x 292 Wh packs between sorties plus GCS and instruments. A test day is 6-10 sorties.</t>
        </is>
      </c>
      <c r="M19" s="47" t="inlineStr">
        <is>
          <t>Inverter generator (noisy, fuel, but cheaper)</t>
        </is>
      </c>
    </row>
    <row r="20" ht="23.85" customHeight="1" s="36">
      <c r="A20" s="46" t="n">
        <v>13</v>
      </c>
      <c r="B20" s="47" t="inlineStr">
        <is>
          <t>Solar panel</t>
        </is>
      </c>
      <c r="C20" s="47" t="inlineStr">
        <is>
          <t>200 W folding, for multi-day field campaigns</t>
        </is>
      </c>
      <c r="D20" s="46" t="n">
        <v>1</v>
      </c>
      <c r="E20" s="48" t="n">
        <v>6000</v>
      </c>
      <c r="F20" s="49">
        <f>D20*E20</f>
        <v/>
      </c>
      <c r="G20" s="50" t="n">
        <v>18000</v>
      </c>
      <c r="H20" s="50">
        <f>D20*G20</f>
        <v/>
      </c>
      <c r="I20" s="51" t="n"/>
      <c r="J20" s="47" t="inlineStr">
        <is>
          <t>Generic</t>
        </is>
      </c>
      <c r="K20" s="46" t="inlineStr">
        <is>
          <t>2 wk</t>
        </is>
      </c>
      <c r="L20" s="47" t="inlineStr">
        <is>
          <t>Optional. Useful for remote test sites during the P7 data campaign.</t>
        </is>
      </c>
      <c r="M20" s="47" t="inlineStr">
        <is>
          <t>None</t>
        </is>
      </c>
    </row>
    <row r="21" ht="23.85" customHeight="1" s="36">
      <c r="A21" s="46" t="n">
        <v>14</v>
      </c>
      <c r="B21" s="47" t="inlineStr">
        <is>
          <t>Field table + canopy</t>
        </is>
      </c>
      <c r="C21" s="47" t="inlineStr">
        <is>
          <t>Folding table, 3x3 m canopy, weights</t>
        </is>
      </c>
      <c r="D21" s="46" t="n">
        <v>1</v>
      </c>
      <c r="E21" s="48" t="n">
        <v>12000</v>
      </c>
      <c r="F21" s="49">
        <f>D21*E21</f>
        <v/>
      </c>
      <c r="G21" s="50" t="n">
        <v>9000</v>
      </c>
      <c r="H21" s="50">
        <f>D21*G21</f>
        <v/>
      </c>
      <c r="I21" s="51" t="n"/>
      <c r="J21" s="47" t="inlineStr">
        <is>
          <t>Generic</t>
        </is>
      </c>
      <c r="K21" s="46" t="inlineStr">
        <is>
          <t>1 wk</t>
        </is>
      </c>
      <c r="L21" s="47" t="inlineStr">
        <is>
          <t>Shade for the GCS and a stable surface. Also the judge-facing impression.</t>
        </is>
      </c>
      <c r="M21" s="47" t="inlineStr">
        <is>
          <t>—</t>
        </is>
      </c>
    </row>
    <row r="22" ht="23.85" customHeight="1" s="36">
      <c r="A22" s="46" t="n">
        <v>15</v>
      </c>
      <c r="B22" s="47" t="inlineStr">
        <is>
          <t>Landing pad</t>
        </is>
      </c>
      <c r="C22" s="47" t="inlineStr">
        <is>
          <t>3.66 x 3.66 m (12 ft) marked pad, pegged, with sequenced position markers</t>
        </is>
      </c>
      <c r="D22" s="46" t="n">
        <v>1</v>
      </c>
      <c r="E22" s="48" t="n">
        <v>4500</v>
      </c>
      <c r="F22" s="49">
        <f>D22*E22</f>
        <v/>
      </c>
      <c r="G22" s="50" t="n">
        <v>7500</v>
      </c>
      <c r="H22" s="50">
        <f>D22*G22</f>
        <v/>
      </c>
      <c r="I22" s="51" t="n"/>
      <c r="J22" s="47" t="inlineStr">
        <is>
          <t>In-house / generic</t>
        </is>
      </c>
      <c r="K22" s="46" t="inlineStr">
        <is>
          <t>2 wk</t>
        </is>
      </c>
      <c r="L22" s="47" t="inlineStr">
        <is>
          <t>Rule C14 fixes this size. Practise every launch and recovery on an exactly-sized pad from day one.</t>
        </is>
      </c>
      <c r="M22" s="47" t="inlineStr">
        <is>
          <t>Chalk marking — blows away, not repeatable</t>
        </is>
      </c>
    </row>
    <row r="23" ht="23.85" customHeight="1" s="36">
      <c r="A23" s="46" t="n">
        <v>16</v>
      </c>
      <c r="B23" s="47" t="inlineStr">
        <is>
          <t>Windsock + anemometer</t>
        </is>
      </c>
      <c r="C23" s="47" t="inlineStr">
        <is>
          <t>Handheld anemometer with logging + 600 mm windsock</t>
        </is>
      </c>
      <c r="D23" s="46" t="n">
        <v>1</v>
      </c>
      <c r="E23" s="48" t="n">
        <v>400</v>
      </c>
      <c r="F23" s="49">
        <f>D23*E23</f>
        <v/>
      </c>
      <c r="G23" s="50" t="n">
        <v>4500</v>
      </c>
      <c r="H23" s="50">
        <f>D23*G23</f>
        <v/>
      </c>
      <c r="I23" s="51" t="n"/>
      <c r="J23" s="47" t="inlineStr">
        <is>
          <t>Generic</t>
        </is>
      </c>
      <c r="K23" s="46" t="inlineStr">
        <is>
          <t>1 wk</t>
        </is>
      </c>
      <c r="L23" s="47" t="inlineStr">
        <is>
          <t>Sizing §9.2: wind policy is constant GROUNDSPEED. You need to know the wind to verify the policy and to log conditions per sortie.</t>
        </is>
      </c>
      <c r="M23" s="47" t="inlineStr">
        <is>
          <t>Phone weather app — insufficient</t>
        </is>
      </c>
    </row>
    <row r="24" ht="23.85" customHeight="1" s="36">
      <c r="A24" s="46" t="n">
        <v>17</v>
      </c>
      <c r="B24" s="47" t="inlineStr">
        <is>
          <t>Equipment cases</t>
        </is>
      </c>
      <c r="C24" s="47" t="inlineStr">
        <is>
          <t>Wheeled hard cases with custom foam, 3 aircraft + 1 ground kit</t>
        </is>
      </c>
      <c r="D24" s="46" t="n">
        <v>4</v>
      </c>
      <c r="E24" s="48" t="n">
        <v>7000</v>
      </c>
      <c r="F24" s="49">
        <f>D24*E24</f>
        <v/>
      </c>
      <c r="G24" s="50" t="n">
        <v>22000</v>
      </c>
      <c r="H24" s="50">
        <f>D24*G24</f>
        <v/>
      </c>
      <c r="I24" s="51" t="n"/>
      <c r="J24" s="47" t="inlineStr">
        <is>
          <t>Pelican-type</t>
        </is>
      </c>
      <c r="K24" s="46" t="inlineStr">
        <is>
          <t>3 wk</t>
        </is>
      </c>
      <c r="L24" s="47" t="inlineStr">
        <is>
          <t>Sizing §15: the 5-minute setup starts with getting aircraft out of cases. Foam layout is part of the setup choreography.</t>
        </is>
      </c>
      <c r="M24" s="47" t="inlineStr">
        <is>
          <t>Soft cases — slower and less protective</t>
        </is>
      </c>
    </row>
    <row r="25" ht="15" customHeight="1" s="36">
      <c r="A25" s="44" t="inlineStr">
        <is>
          <t>SAFETY &amp; COMPLIANCE</t>
        </is>
      </c>
      <c r="B25" s="45" t="n"/>
      <c r="C25" s="45" t="n"/>
      <c r="D25" s="45" t="n"/>
      <c r="E25" s="45" t="n"/>
      <c r="F25" s="45" t="n"/>
      <c r="G25" s="45" t="n"/>
      <c r="H25" s="45" t="n"/>
      <c r="I25" s="45" t="n"/>
      <c r="J25" s="45" t="n"/>
      <c r="K25" s="45" t="n"/>
      <c r="L25" s="45" t="n"/>
      <c r="M25" s="45" t="n"/>
    </row>
    <row r="26" ht="15" customHeight="1" s="36">
      <c r="A26" s="46" t="n">
        <v>18</v>
      </c>
      <c r="B26" s="47" t="inlineStr">
        <is>
          <t>LiPo/Li-ion safe bags</t>
        </is>
      </c>
      <c r="C26" s="47" t="inlineStr">
        <is>
          <t>Large fire-resistant charging/storage bags</t>
        </is>
      </c>
      <c r="D26" s="46" t="n">
        <v>6</v>
      </c>
      <c r="E26" s="48" t="n">
        <v>300</v>
      </c>
      <c r="F26" s="49">
        <f>D26*E26</f>
        <v/>
      </c>
      <c r="G26" s="50" t="n">
        <v>1200</v>
      </c>
      <c r="H26" s="50">
        <f>D26*G26</f>
        <v/>
      </c>
      <c r="I26" s="51" t="n"/>
      <c r="J26" s="47" t="inlineStr">
        <is>
          <t>Generic</t>
        </is>
      </c>
      <c r="K26" s="46" t="inlineStr">
        <is>
          <t>1 wk</t>
        </is>
      </c>
      <c r="L26" s="47" t="inlineStr">
        <is>
          <t>Non-negotiable with 292 Wh packs in a student lab.</t>
        </is>
      </c>
      <c r="M26" s="47" t="inlineStr">
        <is>
          <t>—</t>
        </is>
      </c>
    </row>
    <row r="27" ht="23.85" customHeight="1" s="36">
      <c r="A27" s="46" t="n">
        <v>19</v>
      </c>
      <c r="B27" s="47" t="inlineStr">
        <is>
          <t>Fire extinguisher</t>
        </is>
      </c>
      <c r="C27" s="47" t="inlineStr">
        <is>
          <t>Class D / lithium-rated, plus a bucket of dry sand</t>
        </is>
      </c>
      <c r="D27" s="46" t="n">
        <v>2</v>
      </c>
      <c r="E27" s="48" t="n">
        <v>5000</v>
      </c>
      <c r="F27" s="49">
        <f>D27*E27</f>
        <v/>
      </c>
      <c r="G27" s="50" t="n">
        <v>6500</v>
      </c>
      <c r="H27" s="50">
        <f>D27*G27</f>
        <v/>
      </c>
      <c r="I27" s="51" t="n"/>
      <c r="J27" s="47" t="inlineStr">
        <is>
          <t>Local</t>
        </is>
      </c>
      <c r="K27" s="46" t="inlineStr">
        <is>
          <t>1 wk</t>
        </is>
      </c>
      <c r="L27" s="47" t="inlineStr">
        <is>
          <t>Standard water/CO2 will not stop a lithium fire.</t>
        </is>
      </c>
      <c r="M27" s="47" t="inlineStr">
        <is>
          <t>—</t>
        </is>
      </c>
    </row>
    <row r="28" ht="23.85" customHeight="1" s="36">
      <c r="A28" s="46" t="n">
        <v>20</v>
      </c>
      <c r="B28" s="47" t="inlineStr">
        <is>
          <t>First aid kit</t>
        </is>
      </c>
      <c r="C28" s="47" t="inlineStr">
        <is>
          <t>Trauma-capable, including laceration dressings</t>
        </is>
      </c>
      <c r="D28" s="46" t="n">
        <v>1</v>
      </c>
      <c r="E28" s="48" t="n">
        <v>1500</v>
      </c>
      <c r="F28" s="49">
        <f>D28*E28</f>
        <v/>
      </c>
      <c r="G28" s="50" t="n">
        <v>3500</v>
      </c>
      <c r="H28" s="50">
        <f>D28*G28</f>
        <v/>
      </c>
      <c r="I28" s="51" t="n"/>
      <c r="J28" s="47" t="inlineStr">
        <is>
          <t>Local</t>
        </is>
      </c>
      <c r="K28" s="46" t="inlineStr">
        <is>
          <t>1 wk</t>
        </is>
      </c>
      <c r="L28" s="47" t="inlineStr">
        <is>
          <t>20 in carbon props at 3000 RPM cause serious injuries. Have this before the first spin-up.</t>
        </is>
      </c>
      <c r="M28" s="47" t="inlineStr">
        <is>
          <t>—</t>
        </is>
      </c>
    </row>
    <row r="29" ht="23.85" customHeight="1" s="36">
      <c r="A29" s="46" t="n">
        <v>21</v>
      </c>
      <c r="B29" s="47" t="inlineStr">
        <is>
          <t>High-visibility vests + eye protection</t>
        </is>
      </c>
      <c r="C29" s="47" t="inlineStr">
        <is>
          <t>For the 2 setup crew and safety officer</t>
        </is>
      </c>
      <c r="D29" s="46" t="n">
        <v>5</v>
      </c>
      <c r="E29" s="48" t="n">
        <v>200</v>
      </c>
      <c r="F29" s="49">
        <f>D29*E29</f>
        <v/>
      </c>
      <c r="G29" s="50" t="n">
        <v>600</v>
      </c>
      <c r="H29" s="50">
        <f>D29*G29</f>
        <v/>
      </c>
      <c r="I29" s="51" t="n"/>
      <c r="J29" s="47" t="inlineStr">
        <is>
          <t>Local</t>
        </is>
      </c>
      <c r="K29" s="46" t="inlineStr">
        <is>
          <t>1 wk</t>
        </is>
      </c>
      <c r="L29" s="47" t="inlineStr">
        <is>
          <t>Range discipline. Also signals professionalism to evaluators.</t>
        </is>
      </c>
      <c r="M29" s="47" t="inlineStr">
        <is>
          <t>—</t>
        </is>
      </c>
    </row>
    <row r="30" ht="23.85" customHeight="1" s="36">
      <c r="A30" s="46" t="n">
        <v>22</v>
      </c>
      <c r="B30" s="47" t="inlineStr">
        <is>
          <t>Safety pilot transmitter</t>
        </is>
      </c>
      <c r="C30" s="47" t="inlineStr">
        <is>
          <t>ExpressLRS/FrSky TX matched to the aircraft receivers</t>
        </is>
      </c>
      <c r="D30" s="46" t="n">
        <v>1</v>
      </c>
      <c r="E30" s="48" t="n">
        <v>700</v>
      </c>
      <c r="F30" s="49">
        <f>D30*E30</f>
        <v/>
      </c>
      <c r="G30" s="50" t="n">
        <v>18000</v>
      </c>
      <c r="H30" s="50">
        <f>D30*G30</f>
        <v/>
      </c>
      <c r="I30" s="51" t="n"/>
      <c r="J30" s="47" t="inlineStr">
        <is>
          <t>Generic</t>
        </is>
      </c>
      <c r="K30" s="46" t="inlineStr">
        <is>
          <t>2 wk</t>
        </is>
      </c>
      <c r="L30" s="47" t="inlineStr">
        <is>
          <t>Manual override capability during testing. Not used in the scored run.</t>
        </is>
      </c>
      <c r="M30" s="47" t="inlineStr">
        <is>
          <t>—</t>
        </is>
      </c>
    </row>
    <row r="31" ht="23.85" customHeight="1" s="36">
      <c r="A31" s="46" t="n">
        <v>23</v>
      </c>
      <c r="B31" s="47" t="inlineStr">
        <is>
          <t>Barrier tape / cones</t>
        </is>
      </c>
      <c r="C31" s="47" t="inlineStr">
        <is>
          <t>100 m tape, 8 cones, for range perimeter</t>
        </is>
      </c>
      <c r="D31" s="46" t="n">
        <v>1</v>
      </c>
      <c r="E31" s="48" t="n">
        <v>2000</v>
      </c>
      <c r="F31" s="49">
        <f>D31*E31</f>
        <v/>
      </c>
      <c r="G31" s="50" t="n">
        <v>1500</v>
      </c>
      <c r="H31" s="50">
        <f>D31*G31</f>
        <v/>
      </c>
      <c r="I31" s="51" t="n"/>
      <c r="J31" s="47" t="inlineStr">
        <is>
          <t>Local</t>
        </is>
      </c>
      <c r="K31" s="46" t="inlineStr">
        <is>
          <t>1 wk</t>
        </is>
      </c>
      <c r="L31" s="47" t="inlineStr">
        <is>
          <t>Defines the flight area at test sites and keeps spectators out of the descent cone.</t>
        </is>
      </c>
      <c r="M31" s="47" t="inlineStr">
        <is>
          <t>—</t>
        </is>
      </c>
    </row>
    <row r="32" ht="15" customHeight="1" s="36">
      <c r="B32" s="41" t="inlineStr">
        <is>
          <t>TOTAL</t>
        </is>
      </c>
      <c r="F32" s="52">
        <f>SUM(F5:F31)</f>
        <v/>
      </c>
      <c r="H32" s="53">
        <f>SUM(H5:H31)</f>
        <v/>
      </c>
      <c r="I32" s="54">
        <f>SUM(I5:I31)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5" min="1" max="1"/>
    <col width="26" customWidth="1" style="35" min="2" max="2"/>
    <col width="34" customWidth="1" style="35" min="3" max="3"/>
    <col width="6" customWidth="1" style="35" min="4" max="4"/>
    <col width="12" customWidth="1" style="35" min="5" max="5"/>
    <col width="13" customWidth="1" style="35" min="6" max="6"/>
    <col width="14" customWidth="1" style="35" min="7" max="8"/>
    <col width="13" customWidth="1" style="35" min="9" max="9"/>
    <col width="22" customWidth="1" style="35" min="10" max="10"/>
    <col width="11" customWidth="1" style="35" min="11" max="11"/>
    <col width="58" customWidth="1" style="35" min="12" max="12"/>
    <col width="34" customWidth="1" style="35" min="13" max="13"/>
  </cols>
  <sheetData>
    <row r="1" ht="17.35" customHeight="1" s="36">
      <c r="A1" s="37" t="inlineStr">
        <is>
          <t>04 — TEST, LAB AND CALIBRATION EQUIPMENT</t>
        </is>
      </c>
    </row>
    <row r="2" ht="15" customHeight="1" s="36">
      <c r="A2" s="38" t="inlineStr">
        <is>
          <t>Capital equipment for the programme. Several items directly retire assumptions listed in Sizing §16.</t>
        </is>
      </c>
    </row>
    <row r="3" ht="26.85" customHeight="1" s="36">
      <c r="A3" s="43" t="inlineStr">
        <is>
          <t>#</t>
        </is>
      </c>
      <c r="B3" s="43" t="inlineStr">
        <is>
          <t>Component</t>
        </is>
      </c>
      <c r="C3" s="43" t="inlineStr">
        <is>
          <t>Specification / Part</t>
        </is>
      </c>
      <c r="D3" s="43" t="inlineStr">
        <is>
          <t>Qty</t>
        </is>
      </c>
      <c r="E3" s="43" t="inlineStr">
        <is>
          <t>Unit Mass (g)</t>
        </is>
      </c>
      <c r="F3" s="43" t="inlineStr">
        <is>
          <t>Total Mass (g)</t>
        </is>
      </c>
      <c r="G3" s="43" t="inlineStr">
        <is>
          <t>Unit Price (INR)</t>
        </is>
      </c>
      <c r="H3" s="43" t="inlineStr">
        <is>
          <t>Ext. Price (INR)</t>
        </is>
      </c>
      <c r="I3" s="43" t="inlineStr">
        <is>
          <t>Actual Mass (g)</t>
        </is>
      </c>
      <c r="J3" s="43" t="inlineStr">
        <is>
          <t>Supplier / Source</t>
        </is>
      </c>
      <c r="K3" s="43" t="inlineStr">
        <is>
          <t>Lead Time</t>
        </is>
      </c>
      <c r="L3" s="43" t="inlineStr">
        <is>
          <t>Why this part / sizing reference</t>
        </is>
      </c>
      <c r="M3" s="43" t="inlineStr">
        <is>
          <t>Alternative</t>
        </is>
      </c>
    </row>
    <row r="4" ht="15" customHeight="1" s="36">
      <c r="A4" s="44" t="inlineStr">
        <is>
          <t>PROPULSION AND POWER CHARACTERISATION  — closes assumptions A1, A2, A4, A5 in Sizing §16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</row>
    <row r="5" ht="35.05" customHeight="1" s="36">
      <c r="A5" s="46" t="n">
        <v>1</v>
      </c>
      <c r="B5" s="47" t="inlineStr">
        <is>
          <t>Thrust stand</t>
        </is>
      </c>
      <c r="C5" s="47" t="inlineStr">
        <is>
          <t>RCbenchmark Series 1585 or equivalent, to 5 kgf, with torque and RPM</t>
        </is>
      </c>
      <c r="D5" s="46" t="n">
        <v>1</v>
      </c>
      <c r="E5" s="48" t="n">
        <v>3000</v>
      </c>
      <c r="F5" s="49">
        <f>D5*E5</f>
        <v/>
      </c>
      <c r="G5" s="50" t="n">
        <v>145000</v>
      </c>
      <c r="H5" s="50">
        <f>D5*G5</f>
        <v/>
      </c>
      <c r="I5" s="51" t="n"/>
      <c r="J5" s="47" t="inlineStr">
        <is>
          <t>RCbenchmark / Tyto</t>
        </is>
      </c>
      <c r="K5" s="46" t="inlineStr">
        <is>
          <t>4-6 wk</t>
        </is>
      </c>
      <c r="L5" s="47" t="inlineStr">
        <is>
          <t>Sizing §16 A1: figure of merit is assumed 0.60 and is the single largest uncertainty in the power model (±0.1 → ∓17% hover power). This instrument replaces the assumption with data.</t>
        </is>
      </c>
      <c r="M5" s="47" t="inlineStr">
        <is>
          <t>Load cell + Arduino DIY rig: ~INR 15k, much lower fidelity</t>
        </is>
      </c>
    </row>
    <row r="6" ht="15" customHeight="1" s="36">
      <c r="A6" s="46" t="n">
        <v>2</v>
      </c>
      <c r="B6" s="47" t="inlineStr">
        <is>
          <t>Power analyser</t>
        </is>
      </c>
      <c r="C6" s="47" t="inlineStr">
        <is>
          <t>130 A inline watt meter with logging</t>
        </is>
      </c>
      <c r="D6" s="46" t="n">
        <v>2</v>
      </c>
      <c r="E6" s="48" t="n">
        <v>180</v>
      </c>
      <c r="F6" s="49">
        <f>D6*E6</f>
        <v/>
      </c>
      <c r="G6" s="50" t="n">
        <v>4500</v>
      </c>
      <c r="H6" s="50">
        <f>D6*G6</f>
        <v/>
      </c>
      <c r="I6" s="51" t="n"/>
      <c r="J6" s="47" t="inlineStr">
        <is>
          <t>Turnigy / Mauch</t>
        </is>
      </c>
      <c r="K6" s="46" t="inlineStr">
        <is>
          <t>2 wk</t>
        </is>
      </c>
      <c r="L6" s="47" t="inlineStr">
        <is>
          <t>Measures real hover current against the 36 A predicted (Sizing §6).</t>
        </is>
      </c>
      <c r="M6" s="47" t="inlineStr">
        <is>
          <t>FC current telemetry — less accurate</t>
        </is>
      </c>
    </row>
    <row r="7" ht="23.85" customHeight="1" s="36">
      <c r="A7" s="46" t="n">
        <v>3</v>
      </c>
      <c r="B7" s="47" t="inlineStr">
        <is>
          <t>Battery charger</t>
        </is>
      </c>
      <c r="C7" s="47" t="inlineStr">
        <is>
          <t>iCharger X8 or Junsi, 8S, 1000 W, with parallel board</t>
        </is>
      </c>
      <c r="D7" s="46" t="n">
        <v>2</v>
      </c>
      <c r="E7" s="48" t="n">
        <v>1200</v>
      </c>
      <c r="F7" s="49">
        <f>D7*E7</f>
        <v/>
      </c>
      <c r="G7" s="50" t="n">
        <v>32000</v>
      </c>
      <c r="H7" s="50">
        <f>D7*G7</f>
        <v/>
      </c>
      <c r="I7" s="51" t="n"/>
      <c r="J7" s="47" t="inlineStr">
        <is>
          <t>Junsi / iCharger</t>
        </is>
      </c>
      <c r="K7" s="46" t="inlineStr">
        <is>
          <t>3 wk</t>
        </is>
      </c>
      <c r="L7" s="47" t="inlineStr">
        <is>
          <t>292 Wh pack at 1C needs ~300 W. Two chargers to keep a test day moving.</t>
        </is>
      </c>
      <c r="M7" s="47" t="inlineStr">
        <is>
          <t>Cheaper 200 W charger doubles turnaround</t>
        </is>
      </c>
    </row>
    <row r="8" ht="15" customHeight="1" s="36">
      <c r="A8" s="46" t="n">
        <v>4</v>
      </c>
      <c r="B8" s="47" t="inlineStr">
        <is>
          <t>Charger PSU</t>
        </is>
      </c>
      <c r="C8" s="47" t="inlineStr">
        <is>
          <t>24 V 40 A server PSU or bench supply</t>
        </is>
      </c>
      <c r="D8" s="46" t="n">
        <v>2</v>
      </c>
      <c r="E8" s="48" t="n">
        <v>1500</v>
      </c>
      <c r="F8" s="49">
        <f>D8*E8</f>
        <v/>
      </c>
      <c r="G8" s="50" t="n">
        <v>9000</v>
      </c>
      <c r="H8" s="50">
        <f>D8*G8</f>
        <v/>
      </c>
      <c r="I8" s="51" t="n"/>
      <c r="J8" s="47" t="inlineStr">
        <is>
          <t>Generic</t>
        </is>
      </c>
      <c r="K8" s="46" t="inlineStr">
        <is>
          <t>2 wk</t>
        </is>
      </c>
      <c r="L8" s="47" t="inlineStr">
        <is>
          <t>Feeds the chargers at full rated power.</t>
        </is>
      </c>
      <c r="M8" s="47" t="inlineStr">
        <is>
          <t>—</t>
        </is>
      </c>
    </row>
    <row r="9" ht="23.85" customHeight="1" s="36">
      <c r="A9" s="46" t="n">
        <v>5</v>
      </c>
      <c r="B9" s="47" t="inlineStr">
        <is>
          <t>Cell tester</t>
        </is>
      </c>
      <c r="C9" s="47" t="inlineStr">
        <is>
          <t>21700 capacity/IR tester, 8-bay</t>
        </is>
      </c>
      <c r="D9" s="46" t="n">
        <v>1</v>
      </c>
      <c r="E9" s="48" t="n">
        <v>900</v>
      </c>
      <c r="F9" s="49">
        <f>D9*E9</f>
        <v/>
      </c>
      <c r="G9" s="50" t="n">
        <v>14000</v>
      </c>
      <c r="H9" s="50">
        <f>D9*G9</f>
        <v/>
      </c>
      <c r="I9" s="51" t="n"/>
      <c r="J9" s="47" t="inlineStr">
        <is>
          <t>Generic</t>
        </is>
      </c>
      <c r="K9" s="46" t="inlineStr">
        <is>
          <t>2-3 wk</t>
        </is>
      </c>
      <c r="L9" s="47" t="inlineStr">
        <is>
          <t>Every cell must be capacity- and IR-matched before pack assembly. Counterfeit 21700s are widespread; this is how you catch them.</t>
        </is>
      </c>
      <c r="M9" s="47" t="inlineStr">
        <is>
          <t>Trust the vendor — do not</t>
        </is>
      </c>
    </row>
    <row r="10" ht="23.85" customHeight="1" s="36">
      <c r="A10" s="46" t="n">
        <v>6</v>
      </c>
      <c r="B10" s="47" t="inlineStr">
        <is>
          <t>Spot welder</t>
        </is>
      </c>
      <c r="C10" s="47" t="inlineStr">
        <is>
          <t>Battery spot welder, 21700-capable, with nickel strip electrodes</t>
        </is>
      </c>
      <c r="D10" s="46" t="n">
        <v>1</v>
      </c>
      <c r="E10" s="48" t="n">
        <v>3500</v>
      </c>
      <c r="F10" s="49">
        <f>D10*E10</f>
        <v/>
      </c>
      <c r="G10" s="50" t="n">
        <v>18000</v>
      </c>
      <c r="H10" s="50">
        <f>D10*G10</f>
        <v/>
      </c>
      <c r="I10" s="51" t="n"/>
      <c r="J10" s="47" t="inlineStr">
        <is>
          <t>Generic</t>
        </is>
      </c>
      <c r="K10" s="46" t="inlineStr">
        <is>
          <t>2-3 wk</t>
        </is>
      </c>
      <c r="L10" s="47" t="inlineStr">
        <is>
          <t>Soldering directly to cells damages them. Spot welding is the correct method.</t>
        </is>
      </c>
      <c r="M10" s="47" t="inlineStr">
        <is>
          <t>Buy pre-built packs; less control over quality</t>
        </is>
      </c>
    </row>
    <row r="11" ht="15" customHeight="1" s="36">
      <c r="A11" s="44" t="inlineStr">
        <is>
          <t>MEASUREMENT AND CALIBRATION</t>
        </is>
      </c>
      <c r="B11" s="45" t="n"/>
      <c r="C11" s="45" t="n"/>
      <c r="D11" s="45" t="n"/>
      <c r="E11" s="45" t="n"/>
      <c r="F11" s="45" t="n"/>
      <c r="G11" s="45" t="n"/>
      <c r="H11" s="45" t="n"/>
      <c r="I11" s="45" t="n"/>
      <c r="J11" s="45" t="n"/>
      <c r="K11" s="45" t="n"/>
      <c r="L11" s="45" t="n"/>
      <c r="M11" s="45" t="n"/>
    </row>
    <row r="12" ht="15" customHeight="1" s="36">
      <c r="A12" s="46" t="n">
        <v>7</v>
      </c>
      <c r="B12" s="47" t="inlineStr">
        <is>
          <t>Precision scale</t>
        </is>
      </c>
      <c r="C12" s="47" t="inlineStr">
        <is>
          <t>0.1 g resolution, 5 kg capacity</t>
        </is>
      </c>
      <c r="D12" s="46" t="n">
        <v>1</v>
      </c>
      <c r="E12" s="48" t="n">
        <v>2000</v>
      </c>
      <c r="F12" s="49">
        <f>D12*E12</f>
        <v/>
      </c>
      <c r="G12" s="50" t="n">
        <v>6500</v>
      </c>
      <c r="H12" s="50">
        <f>D12*G12</f>
        <v/>
      </c>
      <c r="I12" s="51" t="n"/>
      <c r="J12" s="47" t="inlineStr">
        <is>
          <t>Generic</t>
        </is>
      </c>
      <c r="K12" s="46" t="inlineStr">
        <is>
          <t>1 wk</t>
        </is>
      </c>
      <c r="L12" s="47" t="inlineStr">
        <is>
          <t>Every part weighed on arrival. Kits trimmed to exactly 200 g (rule C6).</t>
        </is>
      </c>
      <c r="M12" s="47" t="inlineStr">
        <is>
          <t>—</t>
        </is>
      </c>
    </row>
    <row r="13" ht="23.85" customHeight="1" s="36">
      <c r="A13" s="46" t="n">
        <v>8</v>
      </c>
      <c r="B13" s="47" t="inlineStr">
        <is>
          <t>Hanging scale</t>
        </is>
      </c>
      <c r="C13" s="47" t="inlineStr">
        <is>
          <t>Calibrated, 50 kg, 10 g resolution — for the FLEET WEIGH-IN</t>
        </is>
      </c>
      <c r="D13" s="46" t="n">
        <v>1</v>
      </c>
      <c r="E13" s="48" t="n">
        <v>400</v>
      </c>
      <c r="F13" s="49">
        <f>D13*E13</f>
        <v/>
      </c>
      <c r="G13" s="50" t="n">
        <v>4500</v>
      </c>
      <c r="H13" s="50">
        <f>D13*G13</f>
        <v/>
      </c>
      <c r="I13" s="51" t="n"/>
      <c r="J13" s="47" t="inlineStr">
        <is>
          <t>Generic</t>
        </is>
      </c>
      <c r="K13" s="46" t="inlineStr">
        <is>
          <t>1 wk</t>
        </is>
      </c>
      <c r="L13" s="47" t="inlineStr">
        <is>
          <t>Rule C2 is a pass/fail check at 25 kg. Own a calibrated scale; do not discover a discrepancy at the venue.</t>
        </is>
      </c>
      <c r="M13" s="47" t="inlineStr">
        <is>
          <t>Bathroom scale — insufficient resolution</t>
        </is>
      </c>
    </row>
    <row r="14" ht="23.85" customHeight="1" s="36">
      <c r="A14" s="46" t="n">
        <v>9</v>
      </c>
      <c r="B14" s="47" t="inlineStr">
        <is>
          <t>Digital calipers + micrometer</t>
        </is>
      </c>
      <c r="C14" s="47" t="inlineStr">
        <is>
          <t>150 mm digital calipers, 0-25 mm micrometer</t>
        </is>
      </c>
      <c r="D14" s="46" t="n">
        <v>2</v>
      </c>
      <c r="E14" s="48" t="n">
        <v>300</v>
      </c>
      <c r="F14" s="49">
        <f>D14*E14</f>
        <v/>
      </c>
      <c r="G14" s="50" t="n">
        <v>3500</v>
      </c>
      <c r="H14" s="50">
        <f>D14*G14</f>
        <v/>
      </c>
      <c r="I14" s="51" t="n"/>
      <c r="J14" s="47" t="inlineStr">
        <is>
          <t>Mitutoyo / generic</t>
        </is>
      </c>
      <c r="K14" s="46" t="inlineStr">
        <is>
          <t>1 wk</t>
        </is>
      </c>
      <c r="L14" s="47" t="inlineStr">
        <is>
          <t>CF tube OD/ID verification, fastener checks.</t>
        </is>
      </c>
      <c r="M14" s="47" t="inlineStr">
        <is>
          <t>—</t>
        </is>
      </c>
    </row>
    <row r="15" ht="23.85" customHeight="1" s="36">
      <c r="A15" s="46" t="n">
        <v>10</v>
      </c>
      <c r="B15" s="47" t="inlineStr">
        <is>
          <t>Torque driver</t>
        </is>
      </c>
      <c r="C15" s="47" t="inlineStr">
        <is>
          <t>1-6 N·m adjustable, hex/Torx bits</t>
        </is>
      </c>
      <c r="D15" s="46" t="n">
        <v>1</v>
      </c>
      <c r="E15" s="48" t="n">
        <v>400</v>
      </c>
      <c r="F15" s="49">
        <f>D15*E15</f>
        <v/>
      </c>
      <c r="G15" s="50" t="n">
        <v>7500</v>
      </c>
      <c r="H15" s="50">
        <f>D15*G15</f>
        <v/>
      </c>
      <c r="I15" s="51" t="n"/>
      <c r="J15" s="47" t="inlineStr">
        <is>
          <t>Wera / generic</t>
        </is>
      </c>
      <c r="K15" s="46" t="inlineStr">
        <is>
          <t>2 wk</t>
        </is>
      </c>
      <c r="L15" s="47" t="inlineStr">
        <is>
          <t>Motor and arm-clamp bolts must be torqued to spec, not to feel. Under-torqued clamps creep; over-torqued crush CF.</t>
        </is>
      </c>
      <c r="M15" s="47" t="inlineStr">
        <is>
          <t>—</t>
        </is>
      </c>
    </row>
    <row r="16" ht="23.85" customHeight="1" s="36">
      <c r="A16" s="46" t="n">
        <v>11</v>
      </c>
      <c r="B16" s="47" t="inlineStr">
        <is>
          <t>Propeller balancer</t>
        </is>
      </c>
      <c r="C16" s="47" t="inlineStr">
        <is>
          <t>Magnetic prop balancer for 18 in props</t>
        </is>
      </c>
      <c r="D16" s="46" t="n">
        <v>1</v>
      </c>
      <c r="E16" s="48" t="n">
        <v>600</v>
      </c>
      <c r="F16" s="49">
        <f>D16*E16</f>
        <v/>
      </c>
      <c r="G16" s="50" t="n">
        <v>3500</v>
      </c>
      <c r="H16" s="50">
        <f>D16*G16</f>
        <v/>
      </c>
      <c r="I16" s="51" t="n"/>
      <c r="J16" s="47" t="inlineStr">
        <is>
          <t>Du-Bro / generic</t>
        </is>
      </c>
      <c r="K16" s="46" t="inlineStr">
        <is>
          <t>2 wk</t>
        </is>
      </c>
      <c r="L16" s="47" t="inlineStr">
        <is>
          <t>Sizing §13: vibration fatigue is the real structural driver, and unbalanced props are the main source.</t>
        </is>
      </c>
      <c r="M16" s="47" t="inlineStr">
        <is>
          <t>—</t>
        </is>
      </c>
    </row>
    <row r="17" ht="23.85" customHeight="1" s="36">
      <c r="A17" s="46" t="n">
        <v>12</v>
      </c>
      <c r="B17" s="47" t="inlineStr">
        <is>
          <t>Vibration analysis</t>
        </is>
      </c>
      <c r="C17" s="47" t="inlineStr">
        <is>
          <t>Use the FC IMU logs (free) + a USB accelerometer if needed</t>
        </is>
      </c>
      <c r="D17" s="46" t="n">
        <v>1</v>
      </c>
      <c r="E17" s="48" t="n">
        <v>50</v>
      </c>
      <c r="F17" s="49">
        <f>D17*E17</f>
        <v/>
      </c>
      <c r="G17" s="50" t="n">
        <v>8500</v>
      </c>
      <c r="H17" s="50">
        <f>D17*G17</f>
        <v/>
      </c>
      <c r="I17" s="51" t="n"/>
      <c r="J17" s="47" t="inlineStr">
        <is>
          <t>Generic</t>
        </is>
      </c>
      <c r="K17" s="46" t="inlineStr">
        <is>
          <t>2 wk</t>
        </is>
      </c>
      <c r="L17" s="47" t="inlineStr">
        <is>
          <t>ArduPilot/PX4 FFT logging is usually sufficient. Buy only if the notch tuning stalls.</t>
        </is>
      </c>
      <c r="M17" s="47" t="inlineStr">
        <is>
          <t>FC logs only</t>
        </is>
      </c>
    </row>
    <row r="18" ht="23.85" customHeight="1" s="36">
      <c r="A18" s="46" t="n">
        <v>13</v>
      </c>
      <c r="B18" s="47" t="inlineStr">
        <is>
          <t>Camera calibration target</t>
        </is>
      </c>
      <c r="C18" s="47" t="inlineStr">
        <is>
          <t>A2 checkerboard on rigid flat board + AprilTag set</t>
        </is>
      </c>
      <c r="D18" s="46" t="n">
        <v>1</v>
      </c>
      <c r="E18" s="48" t="n">
        <v>900</v>
      </c>
      <c r="F18" s="49">
        <f>D18*E18</f>
        <v/>
      </c>
      <c r="G18" s="50" t="n">
        <v>3500</v>
      </c>
      <c r="H18" s="50">
        <f>D18*G18</f>
        <v/>
      </c>
      <c r="I18" s="51" t="n"/>
      <c r="J18" s="47" t="inlineStr">
        <is>
          <t>Print + mount</t>
        </is>
      </c>
      <c r="K18" s="46" t="inlineStr">
        <is>
          <t>1 wk</t>
        </is>
      </c>
      <c r="L18" s="47" t="inlineStr">
        <is>
          <t>Sizing §11: intrinsic calibration AND boresight extrinsic calibration. Skipping the second one leaves a 3-5 m systematic geotag bias.</t>
        </is>
      </c>
      <c r="M18" s="47" t="inlineStr">
        <is>
          <t>Printed on paper — flatness error corrupts the calibration</t>
        </is>
      </c>
    </row>
    <row r="19" ht="15" customHeight="1" s="36">
      <c r="A19" s="44" t="inlineStr">
        <is>
          <t>BENCH AND FABRICATION</t>
        </is>
      </c>
      <c r="B19" s="45" t="n"/>
      <c r="C19" s="45" t="n"/>
      <c r="D19" s="45" t="n"/>
      <c r="E19" s="45" t="n"/>
      <c r="F19" s="45" t="n"/>
      <c r="G19" s="45" t="n"/>
      <c r="H19" s="45" t="n"/>
      <c r="I19" s="45" t="n"/>
      <c r="J19" s="45" t="n"/>
      <c r="K19" s="45" t="n"/>
      <c r="L19" s="45" t="n"/>
      <c r="M19" s="45" t="n"/>
    </row>
    <row r="20" ht="23.85" customHeight="1" s="36">
      <c r="A20" s="46" t="n">
        <v>14</v>
      </c>
      <c r="B20" s="47" t="inlineStr">
        <is>
          <t>Soldering station</t>
        </is>
      </c>
      <c r="C20" s="47" t="inlineStr">
        <is>
          <t>Temperature-controlled 80-100 W, with a large chisel tip for 10 AWG</t>
        </is>
      </c>
      <c r="D20" s="46" t="n">
        <v>1</v>
      </c>
      <c r="E20" s="48" t="n">
        <v>2500</v>
      </c>
      <c r="F20" s="49">
        <f>D20*E20</f>
        <v/>
      </c>
      <c r="G20" s="50" t="n">
        <v>12000</v>
      </c>
      <c r="H20" s="50">
        <f>D20*G20</f>
        <v/>
      </c>
      <c r="I20" s="51" t="n"/>
      <c r="J20" s="47" t="inlineStr">
        <is>
          <t>Hakko / generic</t>
        </is>
      </c>
      <c r="K20" s="46" t="inlineStr">
        <is>
          <t>2 wk</t>
        </is>
      </c>
      <c r="L20" s="47" t="inlineStr">
        <is>
          <t>10 AWG to XT90 needs real thermal mass. A 30 W iron will produce cold joints and in-flight failures.</t>
        </is>
      </c>
      <c r="M20" s="47" t="inlineStr">
        <is>
          <t>—</t>
        </is>
      </c>
    </row>
    <row r="21" ht="15" customHeight="1" s="36">
      <c r="A21" s="46" t="n">
        <v>15</v>
      </c>
      <c r="B21" s="47" t="inlineStr">
        <is>
          <t>Hot air rework station</t>
        </is>
      </c>
      <c r="C21" s="47" t="inlineStr">
        <is>
          <t>For heat shrink and SMD work</t>
        </is>
      </c>
      <c r="D21" s="46" t="n">
        <v>1</v>
      </c>
      <c r="E21" s="48" t="n">
        <v>3000</v>
      </c>
      <c r="F21" s="49">
        <f>D21*E21</f>
        <v/>
      </c>
      <c r="G21" s="50" t="n">
        <v>7500</v>
      </c>
      <c r="H21" s="50">
        <f>D21*G21</f>
        <v/>
      </c>
      <c r="I21" s="51" t="n"/>
      <c r="J21" s="47" t="inlineStr">
        <is>
          <t>Generic</t>
        </is>
      </c>
      <c r="K21" s="46" t="inlineStr">
        <is>
          <t>2 wk</t>
        </is>
      </c>
      <c r="L21" s="47" t="inlineStr">
        <is>
          <t>—</t>
        </is>
      </c>
      <c r="M21" s="47" t="inlineStr">
        <is>
          <t>Heat gun</t>
        </is>
      </c>
    </row>
    <row r="22" ht="15" customHeight="1" s="36">
      <c r="A22" s="46" t="n">
        <v>16</v>
      </c>
      <c r="B22" s="47" t="inlineStr">
        <is>
          <t>Bench power supply</t>
        </is>
      </c>
      <c r="C22" s="47" t="inlineStr">
        <is>
          <t>0-30 V 10 A, current-limited</t>
        </is>
      </c>
      <c r="D22" s="46" t="n">
        <v>1</v>
      </c>
      <c r="E22" s="48" t="n">
        <v>4000</v>
      </c>
      <c r="F22" s="49">
        <f>D22*E22</f>
        <v/>
      </c>
      <c r="G22" s="50" t="n">
        <v>9500</v>
      </c>
      <c r="H22" s="50">
        <f>D22*G22</f>
        <v/>
      </c>
      <c r="I22" s="51" t="n"/>
      <c r="J22" s="47" t="inlineStr">
        <is>
          <t>Generic</t>
        </is>
      </c>
      <c r="K22" s="46" t="inlineStr">
        <is>
          <t>2 wk</t>
        </is>
      </c>
      <c r="L22" s="47" t="inlineStr">
        <is>
          <t>Bring up new boards current-limited. Saves at least one Jetson.</t>
        </is>
      </c>
      <c r="M22" s="47" t="inlineStr">
        <is>
          <t>—</t>
        </is>
      </c>
    </row>
    <row r="23" ht="15" customHeight="1" s="36">
      <c r="A23" s="46" t="n">
        <v>17</v>
      </c>
      <c r="B23" s="47" t="inlineStr">
        <is>
          <t>Multimeter</t>
        </is>
      </c>
      <c r="C23" s="47" t="inlineStr">
        <is>
          <t>True-RMS with continuity, 10 A range</t>
        </is>
      </c>
      <c r="D23" s="46" t="n">
        <v>2</v>
      </c>
      <c r="E23" s="48" t="n">
        <v>350</v>
      </c>
      <c r="F23" s="49">
        <f>D23*E23</f>
        <v/>
      </c>
      <c r="G23" s="50" t="n">
        <v>4500</v>
      </c>
      <c r="H23" s="50">
        <f>D23*G23</f>
        <v/>
      </c>
      <c r="I23" s="51" t="n"/>
      <c r="J23" s="47" t="inlineStr">
        <is>
          <t>Fluke / generic</t>
        </is>
      </c>
      <c r="K23" s="46" t="inlineStr">
        <is>
          <t>1 wk</t>
        </is>
      </c>
      <c r="L23" s="47" t="inlineStr">
        <is>
          <t>—</t>
        </is>
      </c>
      <c r="M23" s="47" t="inlineStr">
        <is>
          <t>—</t>
        </is>
      </c>
    </row>
    <row r="24" ht="23.85" customHeight="1" s="36">
      <c r="A24" s="46" t="n">
        <v>18</v>
      </c>
      <c r="B24" s="47" t="inlineStr">
        <is>
          <t>3D printer</t>
        </is>
      </c>
      <c r="C24" s="47" t="inlineStr">
        <is>
          <t>FDM, 250 mm bed, PETG/ASA capable</t>
        </is>
      </c>
      <c r="D24" s="46" t="n">
        <v>1</v>
      </c>
      <c r="E24" s="48" t="n">
        <v>12000</v>
      </c>
      <c r="F24" s="49">
        <f>D24*E24</f>
        <v/>
      </c>
      <c r="G24" s="50" t="n">
        <v>55000</v>
      </c>
      <c r="H24" s="50">
        <f>D24*G24</f>
        <v/>
      </c>
      <c r="I24" s="51" t="n"/>
      <c r="J24" s="47" t="inlineStr">
        <is>
          <t>Bambu / Creality</t>
        </is>
      </c>
      <c r="K24" s="46" t="inlineStr">
        <is>
          <t>3 wk</t>
        </is>
      </c>
      <c r="L24" s="47" t="inlineStr">
        <is>
          <t>Canopy, magazine, ducts, jigs, and dozens of iterations of the release mechanism. Owning one is faster than outsourcing.</t>
        </is>
      </c>
      <c r="M24" s="47" t="inlineStr">
        <is>
          <t>Outsource printing; slower iteration</t>
        </is>
      </c>
    </row>
    <row r="25" ht="23.85" customHeight="1" s="36">
      <c r="A25" s="46" t="n">
        <v>19</v>
      </c>
      <c r="B25" s="47" t="inlineStr">
        <is>
          <t>Hand tool set</t>
        </is>
      </c>
      <c r="C25" s="47" t="inlineStr">
        <is>
          <t>Hex drivers, Torx, pliers, wire strippers, flush cutters, tweezers</t>
        </is>
      </c>
      <c r="D25" s="46" t="n">
        <v>1</v>
      </c>
      <c r="E25" s="48" t="n">
        <v>2500</v>
      </c>
      <c r="F25" s="49">
        <f>D25*E25</f>
        <v/>
      </c>
      <c r="G25" s="50" t="n">
        <v>9000</v>
      </c>
      <c r="H25" s="50">
        <f>D25*G25</f>
        <v/>
      </c>
      <c r="I25" s="51" t="n"/>
      <c r="J25" s="47" t="inlineStr">
        <is>
          <t>Wera / generic</t>
        </is>
      </c>
      <c r="K25" s="46" t="inlineStr">
        <is>
          <t>1 wk</t>
        </is>
      </c>
      <c r="L25" s="47" t="inlineStr">
        <is>
          <t>—</t>
        </is>
      </c>
      <c r="M25" s="47" t="inlineStr">
        <is>
          <t>—</t>
        </is>
      </c>
    </row>
    <row r="26" ht="23.85" customHeight="1" s="36">
      <c r="A26" s="46" t="n">
        <v>20</v>
      </c>
      <c r="B26" s="47" t="inlineStr">
        <is>
          <t>Rotary tool + CF cutting</t>
        </is>
      </c>
      <c r="C26" s="47" t="inlineStr">
        <is>
          <t>Dremel with diamond discs, plus dust extraction and P2 masks</t>
        </is>
      </c>
      <c r="D26" s="46" t="n">
        <v>1</v>
      </c>
      <c r="E26" s="48" t="n">
        <v>1800</v>
      </c>
      <c r="F26" s="49">
        <f>D26*E26</f>
        <v/>
      </c>
      <c r="G26" s="50" t="n">
        <v>9500</v>
      </c>
      <c r="H26" s="50">
        <f>D26*G26</f>
        <v/>
      </c>
      <c r="I26" s="51" t="n"/>
      <c r="J26" s="47" t="inlineStr">
        <is>
          <t>Generic</t>
        </is>
      </c>
      <c r="K26" s="46" t="inlineStr">
        <is>
          <t>2 wk</t>
        </is>
      </c>
      <c r="L26" s="47" t="inlineStr">
        <is>
          <t>CARBON DUST IS A RESPIRATORY AND ELECTRICAL HAZARD. Extraction and masks are not optional, and CF dust shorts electronics.</t>
        </is>
      </c>
      <c r="M26" s="47" t="inlineStr">
        <is>
          <t>Outsource all CF cutting</t>
        </is>
      </c>
    </row>
    <row r="27" ht="15" customHeight="1" s="36">
      <c r="A27" s="44" t="inlineStr">
        <is>
          <t>SIMULATION AND DEVELOPMENT</t>
        </is>
      </c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</row>
    <row r="28" ht="35.05" customHeight="1" s="36">
      <c r="A28" s="46" t="n">
        <v>21</v>
      </c>
      <c r="B28" s="47" t="inlineStr">
        <is>
          <t>Dev workstation / GPU</t>
        </is>
      </c>
      <c r="C28" s="47" t="inlineStr">
        <is>
          <t>RTX 4070-class or better, 32 GB RAM — for model training and SITL</t>
        </is>
      </c>
      <c r="D28" s="46" t="n">
        <v>1</v>
      </c>
      <c r="E28" s="48" t="n">
        <v>0</v>
      </c>
      <c r="F28" s="49">
        <f>D28*E28</f>
        <v/>
      </c>
      <c r="G28" s="50" t="n">
        <v>180000</v>
      </c>
      <c r="H28" s="50">
        <f>D28*G28</f>
        <v/>
      </c>
      <c r="I28" s="51" t="n"/>
      <c r="J28" s="47" t="inlineStr">
        <is>
          <t>Any</t>
        </is>
      </c>
      <c r="K28" s="46" t="inlineStr">
        <is>
          <t>3 wk</t>
        </is>
      </c>
      <c r="L28" s="47" t="inlineStr">
        <is>
          <t>Development Plan P4/P7: 200-run Monte Carlo campaigns and detector training. Cloud GPU is an alternative but the P7 dataset iteration loop is faster locally.</t>
        </is>
      </c>
      <c r="M28" s="47" t="inlineStr">
        <is>
          <t>Cloud GPU rental (~INR 60/hr)</t>
        </is>
      </c>
    </row>
    <row r="29" ht="15" customHeight="1" s="36">
      <c r="A29" s="46" t="n">
        <v>22</v>
      </c>
      <c r="B29" s="47" t="inlineStr">
        <is>
          <t>Network switch + cabling</t>
        </is>
      </c>
      <c r="C29" s="47" t="inlineStr">
        <is>
          <t>8-port gigabit switch, patch cables</t>
        </is>
      </c>
      <c r="D29" s="46" t="n">
        <v>1</v>
      </c>
      <c r="E29" s="48" t="n">
        <v>600</v>
      </c>
      <c r="F29" s="49">
        <f>D29*E29</f>
        <v/>
      </c>
      <c r="G29" s="50" t="n">
        <v>3500</v>
      </c>
      <c r="H29" s="50">
        <f>D29*G29</f>
        <v/>
      </c>
      <c r="I29" s="51" t="n"/>
      <c r="J29" s="47" t="inlineStr">
        <is>
          <t>Generic</t>
        </is>
      </c>
      <c r="K29" s="46" t="inlineStr">
        <is>
          <t>1 wk</t>
        </is>
      </c>
      <c r="L29" s="47" t="inlineStr">
        <is>
          <t>Multi-machine SITL and mesh bench testing.</t>
        </is>
      </c>
      <c r="M29" s="47" t="inlineStr">
        <is>
          <t>—</t>
        </is>
      </c>
    </row>
    <row r="30" ht="15" customHeight="1" s="36">
      <c r="B30" s="41" t="inlineStr">
        <is>
          <t>TOTAL</t>
        </is>
      </c>
      <c r="F30" s="52">
        <f>SUM(F5:F29)</f>
        <v/>
      </c>
      <c r="H30" s="53">
        <f>SUM(H5:H29)</f>
        <v/>
      </c>
      <c r="I30" s="54">
        <f>SUM(I5:I29)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M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5" min="1" max="1"/>
    <col width="26" customWidth="1" style="35" min="2" max="2"/>
    <col width="34" customWidth="1" style="35" min="3" max="3"/>
    <col width="6" customWidth="1" style="35" min="4" max="4"/>
    <col width="12" customWidth="1" style="35" min="5" max="5"/>
    <col width="13" customWidth="1" style="35" min="6" max="6"/>
    <col width="14" customWidth="1" style="35" min="7" max="8"/>
    <col width="13" customWidth="1" style="35" min="9" max="9"/>
    <col width="22" customWidth="1" style="35" min="10" max="10"/>
    <col width="11" customWidth="1" style="35" min="11" max="11"/>
    <col width="58" customWidth="1" style="35" min="12" max="12"/>
    <col width="34" customWidth="1" style="35" min="13" max="13"/>
  </cols>
  <sheetData>
    <row r="1" ht="17.35" customHeight="1" s="36">
      <c r="A1" s="37" t="inlineStr">
        <is>
          <t>05 — SPARES AND CONSUMABLES</t>
        </is>
      </c>
    </row>
    <row r="2" ht="15" customHeight="1" s="36">
      <c r="A2" s="38" t="inlineStr">
        <is>
          <t>The spare aircraft line is the largest discretionary item; treat it as a risk-buy-down decision, not a nice-to-have.</t>
        </is>
      </c>
    </row>
    <row r="3" ht="26.85" customHeight="1" s="36">
      <c r="A3" s="43" t="inlineStr">
        <is>
          <t>#</t>
        </is>
      </c>
      <c r="B3" s="43" t="inlineStr">
        <is>
          <t>Component</t>
        </is>
      </c>
      <c r="C3" s="43" t="inlineStr">
        <is>
          <t>Specification / Part</t>
        </is>
      </c>
      <c r="D3" s="43" t="inlineStr">
        <is>
          <t>Qty</t>
        </is>
      </c>
      <c r="E3" s="43" t="inlineStr">
        <is>
          <t>Unit Mass (g)</t>
        </is>
      </c>
      <c r="F3" s="43" t="inlineStr">
        <is>
          <t>Total Mass (g)</t>
        </is>
      </c>
      <c r="G3" s="43" t="inlineStr">
        <is>
          <t>Unit Price (INR)</t>
        </is>
      </c>
      <c r="H3" s="43" t="inlineStr">
        <is>
          <t>Ext. Price (INR)</t>
        </is>
      </c>
      <c r="I3" s="43" t="inlineStr">
        <is>
          <t>Actual Mass (g)</t>
        </is>
      </c>
      <c r="J3" s="43" t="inlineStr">
        <is>
          <t>Supplier / Source</t>
        </is>
      </c>
      <c r="K3" s="43" t="inlineStr">
        <is>
          <t>Lead Time</t>
        </is>
      </c>
      <c r="L3" s="43" t="inlineStr">
        <is>
          <t>Why this part / sizing reference</t>
        </is>
      </c>
      <c r="M3" s="43" t="inlineStr">
        <is>
          <t>Alternative</t>
        </is>
      </c>
    </row>
    <row r="4" ht="15" customHeight="1" s="36">
      <c r="A4" s="44" t="inlineStr">
        <is>
          <t>FLIGHT SPARES — Development Plan R4: a crash near the finals must not end the programme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</row>
    <row r="5" ht="15" customHeight="1" s="36">
      <c r="A5" s="46" t="n">
        <v>1</v>
      </c>
      <c r="B5" s="47" t="inlineStr">
        <is>
          <t>Spare motor</t>
        </is>
      </c>
      <c r="C5" s="47" t="inlineStr">
        <is>
          <t>MN5008 KV170</t>
        </is>
      </c>
      <c r="D5" s="46" t="n">
        <v>4</v>
      </c>
      <c r="E5" s="48" t="n">
        <v>135</v>
      </c>
      <c r="F5" s="49">
        <f>D5*E5</f>
        <v/>
      </c>
      <c r="G5" s="50" t="n">
        <v>9500</v>
      </c>
      <c r="H5" s="50">
        <f>D5*G5</f>
        <v/>
      </c>
      <c r="I5" s="51" t="n"/>
      <c r="J5" s="47" t="inlineStr">
        <is>
          <t>T-Motor</t>
        </is>
      </c>
      <c r="K5" s="46" t="inlineStr">
        <is>
          <t>4-6 wk</t>
        </is>
      </c>
      <c r="L5" s="47" t="inlineStr">
        <is>
          <t>One full aircraft set. Motors are the longest-lead flight-critical item.</t>
        </is>
      </c>
      <c r="M5" s="47" t="inlineStr">
        <is>
          <t>—</t>
        </is>
      </c>
    </row>
    <row r="6" ht="15" customHeight="1" s="36">
      <c r="A6" s="46" t="n">
        <v>2</v>
      </c>
      <c r="B6" s="47" t="inlineStr">
        <is>
          <t>Spare ESC</t>
        </is>
      </c>
      <c r="C6" s="47" t="inlineStr">
        <is>
          <t>60 A 6-12S</t>
        </is>
      </c>
      <c r="D6" s="46" t="n">
        <v>4</v>
      </c>
      <c r="E6" s="48" t="n">
        <v>45</v>
      </c>
      <c r="F6" s="49">
        <f>D6*E6</f>
        <v/>
      </c>
      <c r="G6" s="50" t="n">
        <v>3500</v>
      </c>
      <c r="H6" s="50">
        <f>D6*G6</f>
        <v/>
      </c>
      <c r="I6" s="51" t="n"/>
      <c r="J6" s="47" t="inlineStr">
        <is>
          <t>Generic</t>
        </is>
      </c>
      <c r="K6" s="46" t="inlineStr">
        <is>
          <t>3-4 wk</t>
        </is>
      </c>
      <c r="L6" s="47" t="inlineStr">
        <is>
          <t>ESCs fail from vibration and heat; a spare set is the minimum.</t>
        </is>
      </c>
      <c r="M6" s="47" t="inlineStr">
        <is>
          <t>—</t>
        </is>
      </c>
    </row>
    <row r="7" ht="23.85" customHeight="1" s="36">
      <c r="A7" s="46" t="n">
        <v>3</v>
      </c>
      <c r="B7" s="47" t="inlineStr">
        <is>
          <t>Spare propeller pairs</t>
        </is>
      </c>
      <c r="C7" s="47" t="inlineStr">
        <is>
          <t>18x6.1 CF folding CW/CCW</t>
        </is>
      </c>
      <c r="D7" s="46" t="n">
        <v>6</v>
      </c>
      <c r="E7" s="48" t="n">
        <v>116</v>
      </c>
      <c r="F7" s="49">
        <f>D7*E7</f>
        <v/>
      </c>
      <c r="G7" s="50" t="n">
        <v>2800</v>
      </c>
      <c r="H7" s="50">
        <f>D7*G7</f>
        <v/>
      </c>
      <c r="I7" s="51" t="n"/>
      <c r="J7" s="47" t="inlineStr">
        <is>
          <t>T-Motor</t>
        </is>
      </c>
      <c r="K7" s="46" t="inlineStr">
        <is>
          <t>4 wk</t>
        </is>
      </c>
      <c r="L7" s="47" t="inlineStr">
        <is>
          <t>Props are consumed by every hard landing. Six pairs is a realistic season.</t>
        </is>
      </c>
      <c r="M7" s="47" t="inlineStr">
        <is>
          <t>—</t>
        </is>
      </c>
    </row>
    <row r="8" ht="23.85" customHeight="1" s="36">
      <c r="A8" s="46" t="n">
        <v>4</v>
      </c>
      <c r="B8" s="47" t="inlineStr">
        <is>
          <t>Spare arm assembly</t>
        </is>
      </c>
      <c r="C8" s="47" t="inlineStr">
        <is>
          <t>Tube + clamp + motor mount, built up</t>
        </is>
      </c>
      <c r="D8" s="46" t="n">
        <v>4</v>
      </c>
      <c r="E8" s="48" t="n">
        <v>162</v>
      </c>
      <c r="F8" s="49">
        <f>D8*E8</f>
        <v/>
      </c>
      <c r="G8" s="50" t="n">
        <v>2550</v>
      </c>
      <c r="H8" s="50">
        <f>D8*G8</f>
        <v/>
      </c>
      <c r="I8" s="51" t="n"/>
      <c r="J8" s="47" t="inlineStr">
        <is>
          <t>In-house</t>
        </is>
      </c>
      <c r="K8" s="46" t="inlineStr">
        <is>
          <t>2 wk</t>
        </is>
      </c>
      <c r="L8" s="47" t="inlineStr">
        <is>
          <t>Arms are what break in a tip-over. Pre-build them so a field repair is a 10-minute swap.</t>
        </is>
      </c>
      <c r="M8" s="47" t="inlineStr">
        <is>
          <t>—</t>
        </is>
      </c>
    </row>
    <row r="9" ht="23.85" customHeight="1" s="36">
      <c r="A9" s="46" t="n">
        <v>5</v>
      </c>
      <c r="B9" s="47" t="inlineStr">
        <is>
          <t>Spare flight controller</t>
        </is>
      </c>
      <c r="C9" s="47" t="inlineStr">
        <is>
          <t>Pixhawk 6C, pre-flashed and pre-configured</t>
        </is>
      </c>
      <c r="D9" s="46" t="n">
        <v>1</v>
      </c>
      <c r="E9" s="48" t="n">
        <v>45</v>
      </c>
      <c r="F9" s="49">
        <f>D9*E9</f>
        <v/>
      </c>
      <c r="G9" s="50" t="n">
        <v>28000</v>
      </c>
      <c r="H9" s="50">
        <f>D9*G9</f>
        <v/>
      </c>
      <c r="I9" s="51" t="n"/>
      <c r="J9" s="47" t="inlineStr">
        <is>
          <t>Holybro</t>
        </is>
      </c>
      <c r="K9" s="46" t="inlineStr">
        <is>
          <t>3-4 wk</t>
        </is>
      </c>
      <c r="L9" s="47" t="inlineStr">
        <is>
          <t>Pre-loaded with the frozen parameter set (Development Plan P10).</t>
        </is>
      </c>
      <c r="M9" s="47" t="inlineStr">
        <is>
          <t>—</t>
        </is>
      </c>
    </row>
    <row r="10" ht="15" customHeight="1" s="36">
      <c r="A10" s="46" t="n">
        <v>6</v>
      </c>
      <c r="B10" s="47" t="inlineStr">
        <is>
          <t>Spare GNSS rover</t>
        </is>
      </c>
      <c r="C10" s="47" t="inlineStr">
        <is>
          <t>ZED-F9P with antenna</t>
        </is>
      </c>
      <c r="D10" s="46" t="n">
        <v>1</v>
      </c>
      <c r="E10" s="48" t="n">
        <v>90</v>
      </c>
      <c r="F10" s="49">
        <f>D10*E10</f>
        <v/>
      </c>
      <c r="G10" s="50" t="n">
        <v>32000</v>
      </c>
      <c r="H10" s="50">
        <f>D10*G10</f>
        <v/>
      </c>
      <c r="I10" s="51" t="n"/>
      <c r="J10" s="47" t="inlineStr">
        <is>
          <t>Holybro</t>
        </is>
      </c>
      <c r="K10" s="46" t="inlineStr">
        <is>
          <t>4 wk</t>
        </is>
      </c>
      <c r="L10" s="47" t="inlineStr">
        <is>
          <t>—</t>
        </is>
      </c>
      <c r="M10" s="47" t="inlineStr">
        <is>
          <t>Fly with M9N as a degraded fallback</t>
        </is>
      </c>
    </row>
    <row r="11" ht="23.85" customHeight="1" s="36">
      <c r="A11" s="46" t="n">
        <v>7</v>
      </c>
      <c r="B11" s="47" t="inlineStr">
        <is>
          <t>Spare companion computer</t>
        </is>
      </c>
      <c r="C11" s="47" t="inlineStr">
        <is>
          <t>Jetson Orin Nano, imaged and with the TensorRT engine pre-built</t>
        </is>
      </c>
      <c r="D11" s="46" t="n">
        <v>1</v>
      </c>
      <c r="E11" s="48" t="n">
        <v>185</v>
      </c>
      <c r="F11" s="49">
        <f>D11*E11</f>
        <v/>
      </c>
      <c r="G11" s="50" t="n">
        <v>52000</v>
      </c>
      <c r="H11" s="50">
        <f>D11*G11</f>
        <v/>
      </c>
      <c r="I11" s="51" t="n"/>
      <c r="J11" s="47" t="inlineStr">
        <is>
          <t>NVIDIA</t>
        </is>
      </c>
      <c r="K11" s="46" t="inlineStr">
        <is>
          <t>4-8 wk</t>
        </is>
      </c>
      <c r="L11" s="47" t="inlineStr">
        <is>
          <t>Sizing §15: never JIT-build a TensorRT engine at boot. The spare must be imaged and warm-cached too.</t>
        </is>
      </c>
      <c r="M11" s="47" t="inlineStr">
        <is>
          <t>—</t>
        </is>
      </c>
    </row>
    <row r="12" ht="23.85" customHeight="1" s="36">
      <c r="A12" s="46" t="n">
        <v>8</v>
      </c>
      <c r="B12" s="47" t="inlineStr">
        <is>
          <t>Spare camera + lens</t>
        </is>
      </c>
      <c r="C12" s="47" t="inlineStr">
        <is>
          <t>IMX477 + 6 mm lens, boresight-calibrated on a spare mount</t>
        </is>
      </c>
      <c r="D12" s="46" t="n">
        <v>1</v>
      </c>
      <c r="E12" s="48" t="n">
        <v>100</v>
      </c>
      <c r="F12" s="49">
        <f>D12*E12</f>
        <v/>
      </c>
      <c r="G12" s="50" t="n">
        <v>11800</v>
      </c>
      <c r="H12" s="50">
        <f>D12*G12</f>
        <v/>
      </c>
      <c r="I12" s="51" t="n"/>
      <c r="J12" s="47" t="inlineStr">
        <is>
          <t>Arducam</t>
        </is>
      </c>
      <c r="K12" s="46" t="inlineStr">
        <is>
          <t>2-3 wk</t>
        </is>
      </c>
      <c r="L12" s="47" t="inlineStr">
        <is>
          <t>Note: swapping the camera invalidates the boresight calibration. Calibrate the spare in advance.</t>
        </is>
      </c>
      <c r="M12" s="47" t="inlineStr">
        <is>
          <t>—</t>
        </is>
      </c>
    </row>
    <row r="13" ht="23.85" customHeight="1" s="36">
      <c r="A13" s="46" t="n">
        <v>9</v>
      </c>
      <c r="B13" s="47" t="inlineStr">
        <is>
          <t>Spare battery pack</t>
        </is>
      </c>
      <c r="C13" s="47" t="inlineStr">
        <is>
          <t>Complete 6S3P pack</t>
        </is>
      </c>
      <c r="D13" s="46" t="n">
        <v>3</v>
      </c>
      <c r="E13" s="48" t="n">
        <v>1449</v>
      </c>
      <c r="F13" s="49">
        <f>D13*E13</f>
        <v/>
      </c>
      <c r="G13" s="50" t="n">
        <v>22000</v>
      </c>
      <c r="H13" s="50">
        <f>D13*G13</f>
        <v/>
      </c>
      <c r="I13" s="51" t="n"/>
      <c r="J13" s="47" t="inlineStr">
        <is>
          <t>In-house build</t>
        </is>
      </c>
      <c r="K13" s="46" t="inlineStr">
        <is>
          <t>4 wk</t>
        </is>
      </c>
      <c r="L13" s="47" t="inlineStr">
        <is>
          <t>Two packs per aircraft minimum so a test day is not charger-limited; the third is the crash reserve.</t>
        </is>
      </c>
      <c r="M13" s="47" t="inlineStr">
        <is>
          <t>—</t>
        </is>
      </c>
    </row>
    <row r="14" ht="35.05" customHeight="1" s="36">
      <c r="A14" s="46" t="n">
        <v>10</v>
      </c>
      <c r="B14" s="47" t="inlineStr">
        <is>
          <t>COMPLETE SPARE AIRCRAFT</t>
        </is>
      </c>
      <c r="C14" s="47" t="inlineStr">
        <is>
          <t>Fourth airframe, fully built and flight-tested</t>
        </is>
      </c>
      <c r="D14" s="46" t="n">
        <v>1</v>
      </c>
      <c r="E14" s="48" t="n">
        <v>5710</v>
      </c>
      <c r="F14" s="49">
        <f>D14*E14</f>
        <v/>
      </c>
      <c r="G14" s="50" t="n">
        <v>185000</v>
      </c>
      <c r="H14" s="50">
        <f>D14*G14</f>
        <v/>
      </c>
      <c r="I14" s="51" t="n"/>
      <c r="J14" s="47" t="inlineStr">
        <is>
          <t>In-house</t>
        </is>
      </c>
      <c r="K14" s="46" t="inlineStr">
        <is>
          <t>8 wk</t>
        </is>
      </c>
      <c r="L14" s="47" t="inlineStr">
        <is>
          <t>STRONGLY RECOMMENDED. Rule C1 needs only 2 aircraft flying, but a pre-flight failure on finals day with no spare means flying 2 and losing coverage. Budget-dependent.</t>
        </is>
      </c>
      <c r="M14" s="47" t="inlineStr">
        <is>
          <t>Rely on component spares only</t>
        </is>
      </c>
    </row>
    <row r="15" ht="15" customHeight="1" s="36">
      <c r="A15" s="44" t="inlineStr">
        <is>
          <t>CONSUMABLES</t>
        </is>
      </c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</row>
    <row r="16" ht="23.85" customHeight="1" s="36">
      <c r="A16" s="46" t="n">
        <v>11</v>
      </c>
      <c r="B16" s="47" t="inlineStr">
        <is>
          <t>Threadlocker</t>
        </is>
      </c>
      <c r="C16" s="47" t="inlineStr">
        <is>
          <t>Loctite 243 (medium), 50 ml</t>
        </is>
      </c>
      <c r="D16" s="46" t="n">
        <v>2</v>
      </c>
      <c r="E16" s="48" t="n">
        <v>50</v>
      </c>
      <c r="F16" s="49">
        <f>D16*E16</f>
        <v/>
      </c>
      <c r="G16" s="50" t="n">
        <v>900</v>
      </c>
      <c r="H16" s="50">
        <f>D16*G16</f>
        <v/>
      </c>
      <c r="I16" s="51" t="n"/>
      <c r="J16" s="47" t="inlineStr">
        <is>
          <t>Local</t>
        </is>
      </c>
      <c r="K16" s="46" t="inlineStr">
        <is>
          <t>1 wk</t>
        </is>
      </c>
      <c r="L16" s="47" t="inlineStr">
        <is>
          <t>Every fastener on a vibrating airframe. Use medium strength so field disassembly is possible.</t>
        </is>
      </c>
      <c r="M16" s="47" t="inlineStr">
        <is>
          <t>—</t>
        </is>
      </c>
    </row>
    <row r="17" ht="15" customHeight="1" s="36">
      <c r="A17" s="46" t="n">
        <v>12</v>
      </c>
      <c r="B17" s="47" t="inlineStr">
        <is>
          <t>Cyanoacrylate + epoxy</t>
        </is>
      </c>
      <c r="C17" s="47" t="inlineStr">
        <is>
          <t>CA thin/thick, 30-min structural epoxy</t>
        </is>
      </c>
      <c r="D17" s="46" t="n">
        <v>1</v>
      </c>
      <c r="E17" s="48" t="n">
        <v>400</v>
      </c>
      <c r="F17" s="49">
        <f>D17*E17</f>
        <v/>
      </c>
      <c r="G17" s="50" t="n">
        <v>1800</v>
      </c>
      <c r="H17" s="50">
        <f>D17*G17</f>
        <v/>
      </c>
      <c r="I17" s="51" t="n"/>
      <c r="J17" s="47" t="inlineStr">
        <is>
          <t>Local</t>
        </is>
      </c>
      <c r="K17" s="46" t="inlineStr">
        <is>
          <t>1 wk</t>
        </is>
      </c>
      <c r="L17" s="47" t="inlineStr">
        <is>
          <t>—</t>
        </is>
      </c>
      <c r="M17" s="47" t="inlineStr">
        <is>
          <t>—</t>
        </is>
      </c>
    </row>
    <row r="18" ht="15" customHeight="1" s="36">
      <c r="A18" s="46" t="n">
        <v>13</v>
      </c>
      <c r="B18" s="47" t="inlineStr">
        <is>
          <t>Heat shrink assortment</t>
        </is>
      </c>
      <c r="C18" s="47" t="inlineStr">
        <is>
          <t>2-20 mm, adhesive-lined</t>
        </is>
      </c>
      <c r="D18" s="46" t="n">
        <v>1</v>
      </c>
      <c r="E18" s="48" t="n">
        <v>200</v>
      </c>
      <c r="F18" s="49">
        <f>D18*E18</f>
        <v/>
      </c>
      <c r="G18" s="50" t="n">
        <v>900</v>
      </c>
      <c r="H18" s="50">
        <f>D18*G18</f>
        <v/>
      </c>
      <c r="I18" s="51" t="n"/>
      <c r="J18" s="47" t="inlineStr">
        <is>
          <t>Local</t>
        </is>
      </c>
      <c r="K18" s="46" t="inlineStr">
        <is>
          <t>1 wk</t>
        </is>
      </c>
      <c r="L18" s="47" t="inlineStr">
        <is>
          <t>—</t>
        </is>
      </c>
      <c r="M18" s="47" t="inlineStr">
        <is>
          <t>—</t>
        </is>
      </c>
    </row>
    <row r="19" ht="23.85" customHeight="1" s="36">
      <c r="A19" s="46" t="n">
        <v>14</v>
      </c>
      <c r="B19" s="47" t="inlineStr">
        <is>
          <t>Zip ties + lacing cord</t>
        </is>
      </c>
      <c r="C19" s="47" t="inlineStr">
        <is>
          <t>Assorted, plus Kevlar lacing for harness routing</t>
        </is>
      </c>
      <c r="D19" s="46" t="n">
        <v>1</v>
      </c>
      <c r="E19" s="48" t="n">
        <v>300</v>
      </c>
      <c r="F19" s="49">
        <f>D19*E19</f>
        <v/>
      </c>
      <c r="G19" s="50" t="n">
        <v>700</v>
      </c>
      <c r="H19" s="50">
        <f>D19*G19</f>
        <v/>
      </c>
      <c r="I19" s="51" t="n"/>
      <c r="J19" s="47" t="inlineStr">
        <is>
          <t>Local</t>
        </is>
      </c>
      <c r="K19" s="46" t="inlineStr">
        <is>
          <t>1 wk</t>
        </is>
      </c>
      <c r="L19" s="47" t="inlineStr">
        <is>
          <t>—</t>
        </is>
      </c>
      <c r="M19" s="47" t="inlineStr">
        <is>
          <t>—</t>
        </is>
      </c>
    </row>
    <row r="20" ht="15" customHeight="1" s="36">
      <c r="A20" s="46" t="n">
        <v>15</v>
      </c>
      <c r="B20" s="47" t="inlineStr">
        <is>
          <t>Kapton + fibreglass tape</t>
        </is>
      </c>
      <c r="C20" s="47" t="inlineStr">
        <is>
          <t>25 mm rolls</t>
        </is>
      </c>
      <c r="D20" s="46" t="n">
        <v>1</v>
      </c>
      <c r="E20" s="48" t="n">
        <v>120</v>
      </c>
      <c r="F20" s="49">
        <f>D20*E20</f>
        <v/>
      </c>
      <c r="G20" s="50" t="n">
        <v>800</v>
      </c>
      <c r="H20" s="50">
        <f>D20*G20</f>
        <v/>
      </c>
      <c r="I20" s="51" t="n"/>
      <c r="J20" s="47" t="inlineStr">
        <is>
          <t>Local</t>
        </is>
      </c>
      <c r="K20" s="46" t="inlineStr">
        <is>
          <t>1 wk</t>
        </is>
      </c>
      <c r="L20" s="47" t="inlineStr">
        <is>
          <t>Cell insulation and heat-resistant wrapping.</t>
        </is>
      </c>
      <c r="M20" s="47" t="inlineStr">
        <is>
          <t>—</t>
        </is>
      </c>
    </row>
    <row r="21" ht="15" customHeight="1" s="36">
      <c r="A21" s="46" t="n">
        <v>16</v>
      </c>
      <c r="B21" s="47" t="inlineStr">
        <is>
          <t>3M VHB tape</t>
        </is>
      </c>
      <c r="C21" s="47" t="inlineStr">
        <is>
          <t>19 mm x 5 m, and foam mounting tape</t>
        </is>
      </c>
      <c r="D21" s="46" t="n">
        <v>1</v>
      </c>
      <c r="E21" s="48" t="n">
        <v>150</v>
      </c>
      <c r="F21" s="49">
        <f>D21*E21</f>
        <v/>
      </c>
      <c r="G21" s="50" t="n">
        <v>1200</v>
      </c>
      <c r="H21" s="50">
        <f>D21*G21</f>
        <v/>
      </c>
      <c r="I21" s="51" t="n"/>
      <c r="J21" s="47" t="inlineStr">
        <is>
          <t>Local</t>
        </is>
      </c>
      <c r="K21" s="46" t="inlineStr">
        <is>
          <t>1 wk</t>
        </is>
      </c>
      <c r="L21" s="47" t="inlineStr">
        <is>
          <t>—</t>
        </is>
      </c>
      <c r="M21" s="47" t="inlineStr">
        <is>
          <t>—</t>
        </is>
      </c>
    </row>
    <row r="22" ht="23.85" customHeight="1" s="36">
      <c r="A22" s="46" t="n">
        <v>17</v>
      </c>
      <c r="B22" s="47" t="inlineStr">
        <is>
          <t>Solder + flux</t>
        </is>
      </c>
      <c r="C22" s="47" t="inlineStr">
        <is>
          <t>Leaded 60/40 1 mm, no-clean flux, desoldering braid</t>
        </is>
      </c>
      <c r="D22" s="46" t="n">
        <v>1</v>
      </c>
      <c r="E22" s="48" t="n">
        <v>500</v>
      </c>
      <c r="F22" s="49">
        <f>D22*E22</f>
        <v/>
      </c>
      <c r="G22" s="50" t="n">
        <v>1800</v>
      </c>
      <c r="H22" s="50">
        <f>D22*G22</f>
        <v/>
      </c>
      <c r="I22" s="51" t="n"/>
      <c r="J22" s="47" t="inlineStr">
        <is>
          <t>Local</t>
        </is>
      </c>
      <c r="K22" s="46" t="inlineStr">
        <is>
          <t>1 wk</t>
        </is>
      </c>
      <c r="L22" s="47" t="inlineStr">
        <is>
          <t>Leaded solder is easier and more reliable for hand-built flight hardware.</t>
        </is>
      </c>
      <c r="M22" s="47" t="inlineStr">
        <is>
          <t>Lead-free if institutionally required</t>
        </is>
      </c>
    </row>
    <row r="23" ht="15" customHeight="1" s="36">
      <c r="A23" s="46" t="n">
        <v>18</v>
      </c>
      <c r="B23" s="47" t="inlineStr">
        <is>
          <t>3D printer filament</t>
        </is>
      </c>
      <c r="C23" s="47" t="inlineStr">
        <is>
          <t>PETG 3 kg, ASA 1 kg, TPU 1 kg</t>
        </is>
      </c>
      <c r="D23" s="46" t="n">
        <v>1</v>
      </c>
      <c r="E23" s="48" t="n">
        <v>5000</v>
      </c>
      <c r="F23" s="49">
        <f>D23*E23</f>
        <v/>
      </c>
      <c r="G23" s="50" t="n">
        <v>9000</v>
      </c>
      <c r="H23" s="50">
        <f>D23*G23</f>
        <v/>
      </c>
      <c r="I23" s="51" t="n"/>
      <c r="J23" s="47" t="inlineStr">
        <is>
          <t>Generic</t>
        </is>
      </c>
      <c r="K23" s="46" t="inlineStr">
        <is>
          <t>2 wk</t>
        </is>
      </c>
      <c r="L23" s="47" t="inlineStr">
        <is>
          <t>Magazine and canopy iterations consume more than you expect.</t>
        </is>
      </c>
      <c r="M23" s="47" t="inlineStr">
        <is>
          <t>—</t>
        </is>
      </c>
    </row>
    <row r="24" ht="23.85" customHeight="1" s="36">
      <c r="A24" s="46" t="n">
        <v>19</v>
      </c>
      <c r="B24" s="47" t="inlineStr">
        <is>
          <t>Carbon plate stock</t>
        </is>
      </c>
      <c r="C24" s="47" t="inlineStr">
        <is>
          <t>2.5 mm and 3 mm 3K twill sheets, 400x500 mm</t>
        </is>
      </c>
      <c r="D24" s="46" t="n">
        <v>2</v>
      </c>
      <c r="E24" s="48" t="n">
        <v>900</v>
      </c>
      <c r="F24" s="49">
        <f>D24*E24</f>
        <v/>
      </c>
      <c r="G24" s="50" t="n">
        <v>7500</v>
      </c>
      <c r="H24" s="50">
        <f>D24*G24</f>
        <v/>
      </c>
      <c r="I24" s="51" t="n"/>
      <c r="J24" s="47" t="inlineStr">
        <is>
          <t>CF supplier</t>
        </is>
      </c>
      <c r="K24" s="46" t="inlineStr">
        <is>
          <t>3 wk</t>
        </is>
      </c>
      <c r="L24" s="47" t="inlineStr">
        <is>
          <t>For plate re-cuts and repair doublers.</t>
        </is>
      </c>
      <c r="M24" s="47" t="inlineStr">
        <is>
          <t>—</t>
        </is>
      </c>
    </row>
    <row r="25" ht="15" customHeight="1" s="36">
      <c r="A25" s="46" t="n">
        <v>20</v>
      </c>
      <c r="B25" s="47" t="inlineStr">
        <is>
          <t>Velcro + battery straps</t>
        </is>
      </c>
      <c r="C25" s="47" t="inlineStr">
        <is>
          <t>Hook-loop, 50 mm, plus spare straps</t>
        </is>
      </c>
      <c r="D25" s="46" t="n">
        <v>1</v>
      </c>
      <c r="E25" s="48" t="n">
        <v>250</v>
      </c>
      <c r="F25" s="49">
        <f>D25*E25</f>
        <v/>
      </c>
      <c r="G25" s="50" t="n">
        <v>800</v>
      </c>
      <c r="H25" s="50">
        <f>D25*G25</f>
        <v/>
      </c>
      <c r="I25" s="51" t="n"/>
      <c r="J25" s="47" t="inlineStr">
        <is>
          <t>Local</t>
        </is>
      </c>
      <c r="K25" s="46" t="inlineStr">
        <is>
          <t>1 wk</t>
        </is>
      </c>
      <c r="L25" s="47" t="inlineStr">
        <is>
          <t>—</t>
        </is>
      </c>
      <c r="M25" s="47" t="inlineStr">
        <is>
          <t>—</t>
        </is>
      </c>
    </row>
    <row r="26" ht="15" customHeight="1" s="36">
      <c r="A26" s="46" t="n">
        <v>21</v>
      </c>
      <c r="B26" s="47" t="inlineStr">
        <is>
          <t>Nitrile gloves + P2 masks</t>
        </is>
      </c>
      <c r="C26" s="47" t="inlineStr">
        <is>
          <t>Box of 100 + 20 masks</t>
        </is>
      </c>
      <c r="D26" s="46" t="n">
        <v>1</v>
      </c>
      <c r="E26" s="48" t="n">
        <v>600</v>
      </c>
      <c r="F26" s="49">
        <f>D26*E26</f>
        <v/>
      </c>
      <c r="G26" s="50" t="n">
        <v>1800</v>
      </c>
      <c r="H26" s="50">
        <f>D26*G26</f>
        <v/>
      </c>
      <c r="I26" s="51" t="n"/>
      <c r="J26" s="47" t="inlineStr">
        <is>
          <t>Local</t>
        </is>
      </c>
      <c r="K26" s="46" t="inlineStr">
        <is>
          <t>1 wk</t>
        </is>
      </c>
      <c r="L26" s="47" t="inlineStr">
        <is>
          <t>CF machining and epoxy work.</t>
        </is>
      </c>
      <c r="M26" s="47" t="inlineStr">
        <is>
          <t>—</t>
        </is>
      </c>
    </row>
    <row r="27" ht="15" customHeight="1" s="36">
      <c r="A27" s="46" t="n">
        <v>22</v>
      </c>
      <c r="B27" s="47" t="inlineStr">
        <is>
          <t>Cleaning supplies</t>
        </is>
      </c>
      <c r="C27" s="47" t="inlineStr">
        <is>
          <t>IPA 1 L, lint-free wipes, compressed air</t>
        </is>
      </c>
      <c r="D27" s="46" t="n">
        <v>1</v>
      </c>
      <c r="E27" s="48" t="n">
        <v>1200</v>
      </c>
      <c r="F27" s="49">
        <f>D27*E27</f>
        <v/>
      </c>
      <c r="G27" s="50" t="n">
        <v>1500</v>
      </c>
      <c r="H27" s="50">
        <f>D27*G27</f>
        <v/>
      </c>
      <c r="I27" s="51" t="n"/>
      <c r="J27" s="47" t="inlineStr">
        <is>
          <t>Local</t>
        </is>
      </c>
      <c r="K27" s="46" t="inlineStr">
        <is>
          <t>1 wk</t>
        </is>
      </c>
      <c r="L27" s="47" t="inlineStr">
        <is>
          <t>Camera lens and connector cleaning; CF dust removal.</t>
        </is>
      </c>
      <c r="M27" s="47" t="inlineStr">
        <is>
          <t>—</t>
        </is>
      </c>
    </row>
    <row r="28" ht="15" customHeight="1" s="36">
      <c r="B28" s="41" t="inlineStr">
        <is>
          <t>TOTAL</t>
        </is>
      </c>
      <c r="F28" s="52">
        <f>SUM(F5:F27)</f>
        <v/>
      </c>
      <c r="H28" s="53">
        <f>SUM(H5:H27)</f>
        <v/>
      </c>
      <c r="I28" s="54">
        <f>SUM(I5:I27)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M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5" min="1" max="1"/>
    <col width="26" customWidth="1" style="35" min="2" max="2"/>
    <col width="34" customWidth="1" style="35" min="3" max="3"/>
    <col width="6" customWidth="1" style="35" min="4" max="4"/>
    <col width="12" customWidth="1" style="35" min="5" max="5"/>
    <col width="13" customWidth="1" style="35" min="6" max="6"/>
    <col width="14" customWidth="1" style="35" min="7" max="8"/>
    <col width="13" customWidth="1" style="35" min="9" max="9"/>
    <col width="22" customWidth="1" style="35" min="10" max="10"/>
    <col width="11" customWidth="1" style="35" min="11" max="11"/>
    <col width="58" customWidth="1" style="35" min="12" max="12"/>
    <col width="34" customWidth="1" style="35" min="13" max="13"/>
  </cols>
  <sheetData>
    <row r="1" ht="17.35" customHeight="1" s="36">
      <c r="A1" s="37" t="inlineStr">
        <is>
          <t>06 — SOFTWARE, DATA AND COMPLIANCE</t>
        </is>
      </c>
    </row>
    <row r="2" ht="15" customHeight="1" s="36">
      <c r="A2" s="38" t="inlineStr">
        <is>
          <t>Mostly zero-cost, listed so nothing is forgotten. Two items are frequently missed and cost points: offline map tiles, and ETA status of radios.</t>
        </is>
      </c>
    </row>
    <row r="3" ht="26.85" customHeight="1" s="36">
      <c r="A3" s="43" t="inlineStr">
        <is>
          <t>#</t>
        </is>
      </c>
      <c r="B3" s="43" t="inlineStr">
        <is>
          <t>Component</t>
        </is>
      </c>
      <c r="C3" s="43" t="inlineStr">
        <is>
          <t>Specification / Part</t>
        </is>
      </c>
      <c r="D3" s="43" t="inlineStr">
        <is>
          <t>Qty</t>
        </is>
      </c>
      <c r="E3" s="43" t="inlineStr">
        <is>
          <t>Unit Mass (g)</t>
        </is>
      </c>
      <c r="F3" s="43" t="inlineStr">
        <is>
          <t>Total Mass (g)</t>
        </is>
      </c>
      <c r="G3" s="43" t="inlineStr">
        <is>
          <t>Unit Price (INR)</t>
        </is>
      </c>
      <c r="H3" s="43" t="inlineStr">
        <is>
          <t>Ext. Price (INR)</t>
        </is>
      </c>
      <c r="I3" s="43" t="inlineStr">
        <is>
          <t>Actual Mass (g)</t>
        </is>
      </c>
      <c r="J3" s="43" t="inlineStr">
        <is>
          <t>Supplier / Source</t>
        </is>
      </c>
      <c r="K3" s="43" t="inlineStr">
        <is>
          <t>Lead Time</t>
        </is>
      </c>
      <c r="L3" s="43" t="inlineStr">
        <is>
          <t>Why this part / sizing reference</t>
        </is>
      </c>
      <c r="M3" s="43" t="inlineStr">
        <is>
          <t>Alternative</t>
        </is>
      </c>
    </row>
    <row r="4" ht="15" customHeight="1" s="36">
      <c r="A4" s="44" t="inlineStr">
        <is>
          <t>FLIGHT AND AUTONOMY STACK — all open source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</row>
    <row r="5" ht="23.85" customHeight="1" s="36">
      <c r="A5" s="46" t="n">
        <v>1</v>
      </c>
      <c r="B5" s="47" t="inlineStr">
        <is>
          <t>Autopilot firmware</t>
        </is>
      </c>
      <c r="C5" s="47" t="inlineStr">
        <is>
          <t>ArduPilot Copter 4.5+ or PX4 v1.15+</t>
        </is>
      </c>
      <c r="D5" s="46" t="n">
        <v>1</v>
      </c>
      <c r="E5" s="48" t="n">
        <v>0</v>
      </c>
      <c r="F5" s="49">
        <f>D5*E5</f>
        <v/>
      </c>
      <c r="G5" s="50" t="n">
        <v>0</v>
      </c>
      <c r="H5" s="50">
        <f>D5*G5</f>
        <v/>
      </c>
      <c r="I5" s="51" t="n"/>
      <c r="J5" s="47" t="inlineStr">
        <is>
          <t>ardupilot.org / px4.io</t>
        </is>
      </c>
      <c r="K5" s="46" t="inlineStr">
        <is>
          <t>—</t>
        </is>
      </c>
      <c r="L5" s="47" t="inlineStr">
        <is>
          <t>Sizing §1: proven stabilisation and failsafes. Choose one and standardise the whole fleet on it.</t>
        </is>
      </c>
      <c r="M5" s="47" t="inlineStr">
        <is>
          <t>—</t>
        </is>
      </c>
    </row>
    <row r="6" ht="15" customHeight="1" s="36">
      <c r="A6" s="46" t="n">
        <v>2</v>
      </c>
      <c r="B6" s="47" t="inlineStr">
        <is>
          <t>Middleware</t>
        </is>
      </c>
      <c r="C6" s="47" t="inlineStr">
        <is>
          <t>ROS 2 Humble/Jazzy with Fast DDS</t>
        </is>
      </c>
      <c r="D6" s="46" t="n">
        <v>1</v>
      </c>
      <c r="E6" s="48" t="n">
        <v>0</v>
      </c>
      <c r="F6" s="49">
        <f>D6*E6</f>
        <v/>
      </c>
      <c r="G6" s="50" t="n">
        <v>0</v>
      </c>
      <c r="H6" s="50">
        <f>D6*G6</f>
        <v/>
      </c>
      <c r="I6" s="51" t="n"/>
      <c r="J6" s="47" t="inlineStr">
        <is>
          <t>ros.org</t>
        </is>
      </c>
      <c r="K6" s="46" t="inlineStr">
        <is>
          <t>—</t>
        </is>
      </c>
      <c r="L6" s="47" t="inlineStr">
        <is>
          <t>Sizing: DDS discovery and QoS map well to a lossy mobile mesh.</t>
        </is>
      </c>
      <c r="M6" s="47" t="inlineStr">
        <is>
          <t>MAVSDK only — simpler, less capable</t>
        </is>
      </c>
    </row>
    <row r="7" ht="15" customHeight="1" s="36">
      <c r="A7" s="46" t="n">
        <v>3</v>
      </c>
      <c r="B7" s="47" t="inlineStr">
        <is>
          <t>MAVLink bridge</t>
        </is>
      </c>
      <c r="C7" s="47" t="inlineStr">
        <is>
          <t>MAVROS or uXRCE-DDS</t>
        </is>
      </c>
      <c r="D7" s="46" t="n">
        <v>1</v>
      </c>
      <c r="E7" s="48" t="n">
        <v>0</v>
      </c>
      <c r="F7" s="49">
        <f>D7*E7</f>
        <v/>
      </c>
      <c r="G7" s="50" t="n">
        <v>0</v>
      </c>
      <c r="H7" s="50">
        <f>D7*G7</f>
        <v/>
      </c>
      <c r="I7" s="51" t="n"/>
      <c r="J7" s="47" t="inlineStr">
        <is>
          <t>GitHub</t>
        </is>
      </c>
      <c r="K7" s="46" t="inlineStr">
        <is>
          <t>—</t>
        </is>
      </c>
      <c r="L7" s="47" t="inlineStr">
        <is>
          <t>FC to companion link.</t>
        </is>
      </c>
      <c r="M7" s="47" t="inlineStr">
        <is>
          <t>—</t>
        </is>
      </c>
    </row>
    <row r="8" ht="23.85" customHeight="1" s="36">
      <c r="A8" s="46" t="n">
        <v>4</v>
      </c>
      <c r="B8" s="47" t="inlineStr">
        <is>
          <t>MAVLink router</t>
        </is>
      </c>
      <c r="C8" s="47" t="inlineStr">
        <is>
          <t>mavlink-router or MAVProxy</t>
        </is>
      </c>
      <c r="D8" s="46" t="n">
        <v>1</v>
      </c>
      <c r="E8" s="48" t="n">
        <v>0</v>
      </c>
      <c r="F8" s="49">
        <f>D8*E8</f>
        <v/>
      </c>
      <c r="G8" s="50" t="n">
        <v>0</v>
      </c>
      <c r="H8" s="50">
        <f>D8*G8</f>
        <v/>
      </c>
      <c r="I8" s="51" t="n"/>
      <c r="J8" s="47" t="inlineStr">
        <is>
          <t>GitHub</t>
        </is>
      </c>
      <c r="K8" s="46" t="inlineStr">
        <is>
          <t>—</t>
        </is>
      </c>
      <c r="L8" s="47" t="inlineStr">
        <is>
          <t>Rule C10: multiplexes 3 unique SYSIDs into ONE ground station process.</t>
        </is>
      </c>
      <c r="M8" s="47" t="inlineStr">
        <is>
          <t>—</t>
        </is>
      </c>
    </row>
    <row r="9" ht="23.85" customHeight="1" s="36">
      <c r="A9" s="46" t="n">
        <v>5</v>
      </c>
      <c r="B9" s="47" t="inlineStr">
        <is>
          <t>Mesh routing</t>
        </is>
      </c>
      <c r="C9" s="47" t="inlineStr">
        <is>
          <t>batman-adv (Linux kernel module) on OpenWrt or Ubuntu</t>
        </is>
      </c>
      <c r="D9" s="46" t="n">
        <v>1</v>
      </c>
      <c r="E9" s="48" t="n">
        <v>0</v>
      </c>
      <c r="F9" s="49">
        <f>D9*E9</f>
        <v/>
      </c>
      <c r="G9" s="50" t="n">
        <v>0</v>
      </c>
      <c r="H9" s="50">
        <f>D9*G9</f>
        <v/>
      </c>
      <c r="I9" s="51" t="n"/>
      <c r="J9" s="47" t="inlineStr">
        <is>
          <t>open-mesh.org</t>
        </is>
      </c>
      <c r="K9" s="46" t="inlineStr">
        <is>
          <t>—</t>
        </is>
      </c>
      <c r="L9" s="47" t="inlineStr">
        <is>
          <t>Layer-2 mesh; the same technology commercial MANET radios run underneath.</t>
        </is>
      </c>
      <c r="M9" s="47" t="inlineStr">
        <is>
          <t>OLSR, Babel</t>
        </is>
      </c>
    </row>
    <row r="10" ht="23.85" customHeight="1" s="36">
      <c r="A10" s="46" t="n">
        <v>6</v>
      </c>
      <c r="B10" s="47" t="inlineStr">
        <is>
          <t>Simulator</t>
        </is>
      </c>
      <c r="C10" s="47" t="inlineStr">
        <is>
          <t>Gazebo Harmonic + ArduPilot/PX4 SITL</t>
        </is>
      </c>
      <c r="D10" s="46" t="n">
        <v>1</v>
      </c>
      <c r="E10" s="48" t="n">
        <v>0</v>
      </c>
      <c r="F10" s="49">
        <f>D10*E10</f>
        <v/>
      </c>
      <c r="G10" s="50" t="n">
        <v>0</v>
      </c>
      <c r="H10" s="50">
        <f>D10*G10</f>
        <v/>
      </c>
      <c r="I10" s="51" t="n"/>
      <c r="J10" s="47" t="inlineStr">
        <is>
          <t>gazebosim.org</t>
        </is>
      </c>
      <c r="K10" s="46" t="inlineStr">
        <is>
          <t>—</t>
        </is>
      </c>
      <c r="L10" s="47" t="inlineStr">
        <is>
          <t>Development Plan P4: 200-run Monte Carlo campaigns before any hardware flies.</t>
        </is>
      </c>
      <c r="M10" s="47" t="inlineStr">
        <is>
          <t>jMAVSim (lighter, less realistic)</t>
        </is>
      </c>
    </row>
    <row r="11" ht="23.85" customHeight="1" s="36">
      <c r="A11" s="46" t="n">
        <v>7</v>
      </c>
      <c r="B11" s="47" t="inlineStr">
        <is>
          <t>Coverage planner</t>
        </is>
      </c>
      <c r="C11" s="47" t="inlineStr">
        <is>
          <t>DARP reference implementation (github.com/athakapo/DARP)</t>
        </is>
      </c>
      <c r="D11" s="46" t="n">
        <v>1</v>
      </c>
      <c r="E11" s="48" t="n">
        <v>0</v>
      </c>
      <c r="F11" s="49">
        <f>D11*E11</f>
        <v/>
      </c>
      <c r="G11" s="50" t="n">
        <v>0</v>
      </c>
      <c r="H11" s="50">
        <f>D11*G11</f>
        <v/>
      </c>
      <c r="I11" s="51" t="n"/>
      <c r="J11" s="47" t="inlineStr">
        <is>
          <t>GitHub</t>
        </is>
      </c>
      <c r="K11" s="46" t="inlineStr">
        <is>
          <t>—</t>
        </is>
      </c>
      <c r="L11" s="47" t="inlineStr">
        <is>
          <t>Sizing/Plan §2.3: equal-area partitioning anchored to a common launch point.</t>
        </is>
      </c>
      <c r="M11" s="47" t="inlineStr">
        <is>
          <t>Write your own boustrophedon decomposition</t>
        </is>
      </c>
    </row>
    <row r="12" ht="23.85" customHeight="1" s="36">
      <c r="A12" s="46" t="n">
        <v>8</v>
      </c>
      <c r="B12" s="47" t="inlineStr">
        <is>
          <t>Task allocation</t>
        </is>
      </c>
      <c r="C12" s="47" t="inlineStr">
        <is>
          <t>CBBA reference implementation</t>
        </is>
      </c>
      <c r="D12" s="46" t="n">
        <v>1</v>
      </c>
      <c r="E12" s="48" t="n">
        <v>0</v>
      </c>
      <c r="F12" s="49">
        <f>D12*E12</f>
        <v/>
      </c>
      <c r="G12" s="50" t="n">
        <v>0</v>
      </c>
      <c r="H12" s="50">
        <f>D12*G12</f>
        <v/>
      </c>
      <c r="I12" s="51" t="n"/>
      <c r="J12" s="47" t="inlineStr">
        <is>
          <t>GitHub</t>
        </is>
      </c>
      <c r="K12" s="46" t="inlineStr">
        <is>
          <t>—</t>
        </is>
      </c>
      <c r="L12" s="47" t="inlineStr">
        <is>
          <t>Plan §2.4: Choi, Brunet &amp; How (2009), provable conflict-free convergence.</t>
        </is>
      </c>
      <c r="M12" s="47" t="inlineStr">
        <is>
          <t>Centralised Hungarian assignment — fails on link loss</t>
        </is>
      </c>
    </row>
    <row r="13" ht="15" customHeight="1" s="36">
      <c r="A13" s="44" t="inlineStr">
        <is>
          <t>PERCEPTION</t>
        </is>
      </c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5" t="n"/>
    </row>
    <row r="14" ht="23.85" customHeight="1" s="36">
      <c r="A14" s="46" t="n">
        <v>9</v>
      </c>
      <c r="B14" s="47" t="inlineStr">
        <is>
          <t>Detector framework</t>
        </is>
      </c>
      <c r="C14" s="47" t="inlineStr">
        <is>
          <t>Ultralytics YOLO (AGPL — check licence terms for competition use)</t>
        </is>
      </c>
      <c r="D14" s="46" t="n">
        <v>1</v>
      </c>
      <c r="E14" s="48" t="n">
        <v>0</v>
      </c>
      <c r="F14" s="49">
        <f>D14*E14</f>
        <v/>
      </c>
      <c r="G14" s="50" t="n">
        <v>0</v>
      </c>
      <c r="H14" s="50">
        <f>D14*G14</f>
        <v/>
      </c>
      <c r="I14" s="51" t="n"/>
      <c r="J14" s="47" t="inlineStr">
        <is>
          <t>ultralytics.com</t>
        </is>
      </c>
      <c r="K14" s="46" t="inlineStr">
        <is>
          <t>—</t>
        </is>
      </c>
      <c r="L14" s="47" t="inlineStr">
        <is>
          <t>Sizing §8.2. NOTE: AGPL has implications if you distribute. Verify against NIDAR IP terms.</t>
        </is>
      </c>
      <c r="M14" s="47" t="inlineStr">
        <is>
          <t>MMDetection (Apache 2.0), YOLOX</t>
        </is>
      </c>
    </row>
    <row r="15" ht="23.85" customHeight="1" s="36">
      <c r="A15" s="46" t="n">
        <v>10</v>
      </c>
      <c r="B15" s="47" t="inlineStr">
        <is>
          <t>Inference runtime</t>
        </is>
      </c>
      <c r="C15" s="47" t="inlineStr">
        <is>
          <t>TensorRT + DeepStream (included with JetPack)</t>
        </is>
      </c>
      <c r="D15" s="46" t="n">
        <v>1</v>
      </c>
      <c r="E15" s="48" t="n">
        <v>0</v>
      </c>
      <c r="F15" s="49">
        <f>D15*E15</f>
        <v/>
      </c>
      <c r="G15" s="50" t="n">
        <v>0</v>
      </c>
      <c r="H15" s="50">
        <f>D15*G15</f>
        <v/>
      </c>
      <c r="I15" s="51" t="n"/>
      <c r="J15" s="47" t="inlineStr">
        <is>
          <t>NVIDIA</t>
        </is>
      </c>
      <c r="K15" s="46" t="inlineStr">
        <is>
          <t>—</t>
        </is>
      </c>
      <c r="L15" s="47" t="inlineStr">
        <is>
          <t>Sizing §8.2: FP16 TensorRT is what gets you 24-40 FPS on an Orin Nano.</t>
        </is>
      </c>
      <c r="M15" s="47" t="inlineStr">
        <is>
          <t>ONNX Runtime — slower</t>
        </is>
      </c>
    </row>
    <row r="16" ht="23.85" customHeight="1" s="36">
      <c r="A16" s="46" t="n">
        <v>11</v>
      </c>
      <c r="B16" s="47" t="inlineStr">
        <is>
          <t>Tiled inference</t>
        </is>
      </c>
      <c r="C16" s="47" t="inlineStr">
        <is>
          <t>SAHI (Akyon et al., ICIP 2022)</t>
        </is>
      </c>
      <c r="D16" s="46" t="n">
        <v>1</v>
      </c>
      <c r="E16" s="48" t="n">
        <v>0</v>
      </c>
      <c r="F16" s="49">
        <f>D16*E16</f>
        <v/>
      </c>
      <c r="G16" s="50" t="n">
        <v>0</v>
      </c>
      <c r="H16" s="50">
        <f>D16*G16</f>
        <v/>
      </c>
      <c r="I16" s="51" t="n"/>
      <c r="J16" s="47" t="inlineStr">
        <is>
          <t>GitHub</t>
        </is>
      </c>
      <c r="K16" s="46" t="inlineStr">
        <is>
          <t>—</t>
        </is>
      </c>
      <c r="L16" s="47" t="inlineStr">
        <is>
          <t>Sizing §8.2: recovers small-object recall that whole-frame resizing destroys.</t>
        </is>
      </c>
      <c r="M16" s="47" t="inlineStr">
        <is>
          <t>Custom tiling loop</t>
        </is>
      </c>
    </row>
    <row r="17" ht="23.85" customHeight="1" s="36">
      <c r="A17" s="46" t="n">
        <v>12</v>
      </c>
      <c r="B17" s="47" t="inlineStr">
        <is>
          <t>Annotation tool</t>
        </is>
      </c>
      <c r="C17" s="47" t="inlineStr">
        <is>
          <t>CVAT (self-hosted) or Roboflow</t>
        </is>
      </c>
      <c r="D17" s="46" t="n">
        <v>1</v>
      </c>
      <c r="E17" s="48" t="n">
        <v>0</v>
      </c>
      <c r="F17" s="49">
        <f>D17*E17</f>
        <v/>
      </c>
      <c r="G17" s="50" t="n">
        <v>0</v>
      </c>
      <c r="H17" s="50">
        <f>D17*G17</f>
        <v/>
      </c>
      <c r="I17" s="51" t="n"/>
      <c r="J17" s="47" t="inlineStr">
        <is>
          <t>cvat.ai</t>
        </is>
      </c>
      <c r="K17" s="46" t="inlineStr">
        <is>
          <t>—</t>
        </is>
      </c>
      <c r="L17" s="47" t="inlineStr">
        <is>
          <t>Development Plan P7: ≥2,000 frames of your own field data. Self-host to avoid per-seat costs.</t>
        </is>
      </c>
      <c r="M17" s="47" t="inlineStr">
        <is>
          <t>LabelImg — no team workflow</t>
        </is>
      </c>
    </row>
    <row r="18" ht="35.05" customHeight="1" s="36">
      <c r="A18" s="46" t="n">
        <v>13</v>
      </c>
      <c r="B18" s="47" t="inlineStr">
        <is>
          <t>Public datasets</t>
        </is>
      </c>
      <c r="C18" s="47" t="inlineStr">
        <is>
          <t>HERIDAL, SARD, WiSARD</t>
        </is>
      </c>
      <c r="D18" s="46" t="n">
        <v>1</v>
      </c>
      <c r="E18" s="48" t="n">
        <v>0</v>
      </c>
      <c r="F18" s="49">
        <f>D18*E18</f>
        <v/>
      </c>
      <c r="G18" s="50" t="n">
        <v>0</v>
      </c>
      <c r="H18" s="50">
        <f>D18*G18</f>
        <v/>
      </c>
      <c r="I18" s="51" t="n"/>
      <c r="J18" s="47" t="inlineStr">
        <is>
          <t>Research groups (request access)</t>
        </is>
      </c>
      <c r="K18" s="46" t="inlineStr">
        <is>
          <t>2-4 wk</t>
        </is>
      </c>
      <c r="L18" s="47" t="inlineStr">
        <is>
          <t>Sizing §8: baseline benchmarks. Reproduce published metrics (YOLOv5L: P 0.90 / R 0.89 on HERIDAL) to validate your pipeline before trusting your own data.</t>
        </is>
      </c>
      <c r="M18" s="47" t="inlineStr">
        <is>
          <t>COCO-pretrained only — will fail on supine targets</t>
        </is>
      </c>
    </row>
    <row r="19" ht="15" customHeight="1" s="36">
      <c r="A19" s="46" t="n">
        <v>14</v>
      </c>
      <c r="B19" s="47" t="inlineStr">
        <is>
          <t>Camera calibration</t>
        </is>
      </c>
      <c r="C19" s="47" t="inlineStr">
        <is>
          <t>OpenCV / Kalibr</t>
        </is>
      </c>
      <c r="D19" s="46" t="n">
        <v>1</v>
      </c>
      <c r="E19" s="48" t="n">
        <v>0</v>
      </c>
      <c r="F19" s="49">
        <f>D19*E19</f>
        <v/>
      </c>
      <c r="G19" s="50" t="n">
        <v>0</v>
      </c>
      <c r="H19" s="50">
        <f>D19*G19</f>
        <v/>
      </c>
      <c r="I19" s="51" t="n"/>
      <c r="J19" s="47" t="inlineStr">
        <is>
          <t>opencv.org</t>
        </is>
      </c>
      <c r="K19" s="46" t="inlineStr">
        <is>
          <t>—</t>
        </is>
      </c>
      <c r="L19" s="47" t="inlineStr">
        <is>
          <t>Sizing §11: intrinsics AND the camera-to-body boresight extrinsic.</t>
        </is>
      </c>
      <c r="M19" s="47" t="inlineStr">
        <is>
          <t>—</t>
        </is>
      </c>
    </row>
    <row r="20" ht="15" customHeight="1" s="36">
      <c r="A20" s="44" t="inlineStr">
        <is>
          <t>GROUND STATION AND TOOLING</t>
        </is>
      </c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  <c r="L20" s="45" t="n"/>
      <c r="M20" s="45" t="n"/>
    </row>
    <row r="21" ht="23.85" customHeight="1" s="36">
      <c r="A21" s="46" t="n">
        <v>15</v>
      </c>
      <c r="B21" s="47" t="inlineStr">
        <is>
          <t>GCS framework</t>
        </is>
      </c>
      <c r="C21" s="47" t="inlineStr">
        <is>
          <t>React + Node/Python back-end (custom build)</t>
        </is>
      </c>
      <c r="D21" s="46" t="n">
        <v>1</v>
      </c>
      <c r="E21" s="48" t="n">
        <v>0</v>
      </c>
      <c r="F21" s="49">
        <f>D21*E21</f>
        <v/>
      </c>
      <c r="G21" s="50" t="n">
        <v>0</v>
      </c>
      <c r="H21" s="50">
        <f>D21*G21</f>
        <v/>
      </c>
      <c r="I21" s="51" t="n"/>
      <c r="J21" s="47" t="inlineStr">
        <is>
          <t>In-house</t>
        </is>
      </c>
      <c r="K21" s="46" t="inlineStr">
        <is>
          <t>~6 wk eng</t>
        </is>
      </c>
      <c r="L21" s="47" t="inlineStr">
        <is>
          <t>Plan §2.11: the rule C11 display set does not exist in stock Mission Planner or QGroundControl. Budget it as a real subsystem.</t>
        </is>
      </c>
      <c r="M21" s="47" t="inlineStr">
        <is>
          <t>QGroundControl + custom side panel</t>
        </is>
      </c>
    </row>
    <row r="22" ht="35.05" customHeight="1" s="36">
      <c r="A22" s="46" t="n">
        <v>16</v>
      </c>
      <c r="B22" s="47" t="inlineStr">
        <is>
          <t>Map tiles</t>
        </is>
      </c>
      <c r="C22" s="47" t="inlineStr">
        <is>
          <t>Offline tile pack for the venue and test sites</t>
        </is>
      </c>
      <c r="D22" s="46" t="n">
        <v>1</v>
      </c>
      <c r="E22" s="48" t="n">
        <v>0</v>
      </c>
      <c r="F22" s="49">
        <f>D22*E22</f>
        <v/>
      </c>
      <c r="G22" s="50" t="n">
        <v>0</v>
      </c>
      <c r="H22" s="50">
        <f>D22*G22</f>
        <v/>
      </c>
      <c r="I22" s="51" t="n"/>
      <c r="J22" s="47" t="inlineStr">
        <is>
          <t>OSM / QGIS export</t>
        </is>
      </c>
      <c r="K22" s="46" t="inlineStr">
        <is>
          <t>1 wk</t>
        </is>
      </c>
      <c r="L22" s="47" t="inlineStr">
        <is>
          <t>RULE C12 FORBIDS INTERNET. Online map tiles will not load at the venue. Cache offline tiles in advance — teams lose points to this every year.</t>
        </is>
      </c>
      <c r="M22" s="47" t="inlineStr">
        <is>
          <t>No basemap — badly degrades the C11 display</t>
        </is>
      </c>
    </row>
    <row r="23" ht="15" customHeight="1" s="36">
      <c r="A23" s="46" t="n">
        <v>17</v>
      </c>
      <c r="B23" s="47" t="inlineStr">
        <is>
          <t>Version control + CI</t>
        </is>
      </c>
      <c r="C23" s="47" t="inlineStr">
        <is>
          <t>Git, self-hosted runner</t>
        </is>
      </c>
      <c r="D23" s="46" t="n">
        <v>1</v>
      </c>
      <c r="E23" s="48" t="n">
        <v>0</v>
      </c>
      <c r="F23" s="49">
        <f>D23*E23</f>
        <v/>
      </c>
      <c r="G23" s="50" t="n">
        <v>0</v>
      </c>
      <c r="H23" s="50">
        <f>D23*G23</f>
        <v/>
      </c>
      <c r="I23" s="51" t="n"/>
      <c r="J23" s="47" t="inlineStr">
        <is>
          <t>GitHub / GitLab</t>
        </is>
      </c>
      <c r="K23" s="46" t="inlineStr">
        <is>
          <t>—</t>
        </is>
      </c>
      <c r="L23" s="47" t="inlineStr">
        <is>
          <t>Plan §1.5: every flight runs a tagged commit.</t>
        </is>
      </c>
      <c r="M23" s="47" t="inlineStr">
        <is>
          <t>—</t>
        </is>
      </c>
    </row>
    <row r="24" ht="23.85" customHeight="1" s="36">
      <c r="A24" s="46" t="n">
        <v>18</v>
      </c>
      <c r="B24" s="47" t="inlineStr">
        <is>
          <t>Containerisation</t>
        </is>
      </c>
      <c r="C24" s="47" t="inlineStr">
        <is>
          <t>Docker with an arm64 build for the Jetson</t>
        </is>
      </c>
      <c r="D24" s="46" t="n">
        <v>1</v>
      </c>
      <c r="E24" s="48" t="n">
        <v>0</v>
      </c>
      <c r="F24" s="49">
        <f>D24*E24</f>
        <v/>
      </c>
      <c r="G24" s="50" t="n">
        <v>0</v>
      </c>
      <c r="H24" s="50">
        <f>D24*G24</f>
        <v/>
      </c>
      <c r="I24" s="51" t="n"/>
      <c r="J24" s="47" t="inlineStr">
        <is>
          <t>docker.com</t>
        </is>
      </c>
      <c r="K24" s="46" t="inlineStr">
        <is>
          <t>—</t>
        </is>
      </c>
      <c r="L24" s="47" t="inlineStr">
        <is>
          <t>Deploy the identical container to SITL and to the aircraft.</t>
        </is>
      </c>
      <c r="M24" s="47" t="inlineStr">
        <is>
          <t>Bare-metal installs — drift between machines</t>
        </is>
      </c>
    </row>
    <row r="25" ht="15" customHeight="1" s="36">
      <c r="A25" s="44" t="inlineStr">
        <is>
          <t>REGULATORY AND ADMIN</t>
        </is>
      </c>
      <c r="B25" s="45" t="n"/>
      <c r="C25" s="45" t="n"/>
      <c r="D25" s="45" t="n"/>
      <c r="E25" s="45" t="n"/>
      <c r="F25" s="45" t="n"/>
      <c r="G25" s="45" t="n"/>
      <c r="H25" s="45" t="n"/>
      <c r="I25" s="45" t="n"/>
      <c r="J25" s="45" t="n"/>
      <c r="K25" s="45" t="n"/>
      <c r="L25" s="45" t="n"/>
      <c r="M25" s="45" t="n"/>
    </row>
    <row r="26" ht="23.85" customHeight="1" s="36">
      <c r="A26" s="46" t="n">
        <v>19</v>
      </c>
      <c r="B26" s="47" t="inlineStr">
        <is>
          <t>DGCA compliance</t>
        </is>
      </c>
      <c r="C26" s="47" t="inlineStr">
        <is>
          <t>Airspace zone check for every test site; operator/pilot requirements</t>
        </is>
      </c>
      <c r="D26" s="46" t="n">
        <v>1</v>
      </c>
      <c r="E26" s="48" t="n">
        <v>0</v>
      </c>
      <c r="F26" s="49">
        <f>D26*E26</f>
        <v/>
      </c>
      <c r="G26" s="50" t="n">
        <v>0</v>
      </c>
      <c r="H26" s="50">
        <f>D26*G26</f>
        <v/>
      </c>
      <c r="I26" s="51" t="n"/>
      <c r="J26" s="47" t="inlineStr">
        <is>
          <t>Digital Sky</t>
        </is>
      </c>
      <c r="K26" s="46" t="inlineStr">
        <is>
          <t>2-4 wk</t>
        </is>
      </c>
      <c r="L26" s="47" t="inlineStr">
        <is>
          <t>Development Plan P0 exit gate. Confirm the zone colour for each site BEFORE booking a test campaign.</t>
        </is>
      </c>
      <c r="M26" s="47" t="inlineStr">
        <is>
          <t>—</t>
        </is>
      </c>
    </row>
    <row r="27" ht="35.05" customHeight="1" s="36">
      <c r="A27" s="46" t="n">
        <v>20</v>
      </c>
      <c r="B27" s="47" t="inlineStr">
        <is>
          <t>WPC / ETA verification</t>
        </is>
      </c>
      <c r="C27" s="47" t="inlineStr">
        <is>
          <t>Equipment Type Approval status for every radio flown</t>
        </is>
      </c>
      <c r="D27" s="46" t="n">
        <v>1</v>
      </c>
      <c r="E27" s="48" t="n">
        <v>0</v>
      </c>
      <c r="F27" s="49">
        <f>D27*E27</f>
        <v/>
      </c>
      <c r="G27" s="50" t="n">
        <v>0</v>
      </c>
      <c r="H27" s="50">
        <f>D27*G27</f>
        <v/>
      </c>
      <c r="I27" s="51" t="n"/>
      <c r="J27" s="47" t="inlineStr">
        <is>
          <t>WPC / vendor</t>
        </is>
      </c>
      <c r="K27" s="46" t="inlineStr">
        <is>
          <t>4-8 wk</t>
        </is>
      </c>
      <c r="L27" s="47" t="inlineStr">
        <is>
          <t>Sizing §12: 5.825-5.875 GHz is delicensed for drones and 865-867 MHz for SRDs, but the EQUIPMENT still needs ETA. Check before purchase, not after.</t>
        </is>
      </c>
      <c r="M27" s="47" t="inlineStr">
        <is>
          <t>—</t>
        </is>
      </c>
    </row>
    <row r="28" ht="15" customHeight="1" s="36">
      <c r="A28" s="46" t="n">
        <v>21</v>
      </c>
      <c r="B28" s="47" t="inlineStr">
        <is>
          <t>Insurance</t>
        </is>
      </c>
      <c r="C28" s="47" t="inlineStr">
        <is>
          <t>Third-party liability for flight operations</t>
        </is>
      </c>
      <c r="D28" s="46" t="n">
        <v>1</v>
      </c>
      <c r="E28" s="48" t="n">
        <v>0</v>
      </c>
      <c r="F28" s="49">
        <f>D28*E28</f>
        <v/>
      </c>
      <c r="G28" s="50" t="n">
        <v>0</v>
      </c>
      <c r="H28" s="50">
        <f>D28*G28</f>
        <v/>
      </c>
      <c r="I28" s="51" t="n"/>
      <c r="J28" s="47" t="inlineStr">
        <is>
          <t>Insurer</t>
        </is>
      </c>
      <c r="K28" s="46" t="inlineStr">
        <is>
          <t>3 wk</t>
        </is>
      </c>
      <c r="L28" s="47" t="inlineStr">
        <is>
          <t>Many test sites and institutions require it.</t>
        </is>
      </c>
      <c r="M28" s="47" t="inlineStr">
        <is>
          <t>—</t>
        </is>
      </c>
    </row>
    <row r="29" ht="15" customHeight="1" s="36">
      <c r="B29" s="41" t="inlineStr">
        <is>
          <t>TOTAL</t>
        </is>
      </c>
      <c r="F29" s="52">
        <f>SUM(F5:F28)</f>
        <v/>
      </c>
      <c r="H29" s="53">
        <f>SUM(H5:H28)</f>
        <v/>
      </c>
      <c r="I29" s="54">
        <f>SUM(I5:I28)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35" min="1" max="1"/>
    <col width="42" customWidth="1" style="35" min="2" max="2"/>
    <col width="16" customWidth="1" style="35" min="3" max="6"/>
    <col width="60" customWidth="1" style="35" min="7" max="7"/>
  </cols>
  <sheetData>
    <row r="1" ht="17.35" customHeight="1" s="36">
      <c r="A1" s="37" t="inlineStr">
        <is>
          <t>07 — MASS ROLLUP AND RULE C2 COMPLIANCE CHECK</t>
        </is>
      </c>
    </row>
    <row r="2" ht="15" customHeight="1" s="36">
      <c r="A2" s="38" t="inlineStr">
        <is>
          <t>Rule C2: the COMBINED all-up weight of all deployed drones, including batteries, payloads and every accessory, must not exceed 25 kg.</t>
        </is>
      </c>
    </row>
    <row r="4" ht="26.85" customHeight="1" s="36">
      <c r="A4" s="43" t="inlineStr">
        <is>
          <t>#</t>
        </is>
      </c>
      <c r="B4" s="43" t="inlineStr">
        <is>
          <t>Group</t>
        </is>
      </c>
      <c r="C4" s="43" t="inlineStr">
        <is>
          <t>Sizing model (g)</t>
        </is>
      </c>
      <c r="D4" s="43" t="inlineStr">
        <is>
          <t>BOM estimate (g)</t>
        </is>
      </c>
      <c r="E4" s="43" t="inlineStr">
        <is>
          <t>Actual measured (g)</t>
        </is>
      </c>
      <c r="F4" s="43" t="inlineStr">
        <is>
          <t>Delta vs model</t>
        </is>
      </c>
      <c r="G4" s="43" t="inlineStr">
        <is>
          <t>Note</t>
        </is>
      </c>
    </row>
    <row r="5" ht="15" customHeight="1" s="36">
      <c r="A5" s="55" t="n">
        <v>1</v>
      </c>
      <c r="B5" s="55" t="inlineStr">
        <is>
          <t>Structure</t>
        </is>
      </c>
      <c r="C5" s="56" t="n">
        <v>1187</v>
      </c>
      <c r="D5" s="56" t="n">
        <v>1187</v>
      </c>
      <c r="E5" s="57" t="n"/>
      <c r="F5" s="58">
        <f>IF(E5="","",E5-C5)</f>
        <v/>
      </c>
      <c r="G5" s="59" t="inlineStr">
        <is>
          <t>01 Air Vehicle BOM structure section</t>
        </is>
      </c>
    </row>
    <row r="6" ht="15" customHeight="1" s="36">
      <c r="A6" s="55" t="n">
        <v>2</v>
      </c>
      <c r="B6" s="55" t="inlineStr">
        <is>
          <t>Propulsion (motors, ESCs, props, hubs)</t>
        </is>
      </c>
      <c r="C6" s="56" t="n">
        <v>934</v>
      </c>
      <c r="D6" s="56" t="n">
        <v>934</v>
      </c>
      <c r="E6" s="57" t="n"/>
      <c r="F6" s="58">
        <f>IF(E6="","",E6-C6)</f>
        <v/>
      </c>
      <c r="G6" s="59" t="inlineStr">
        <is>
          <t>MN5008 135 g x4 + ESC 45 g x4 + props 116 g x2 pr + hubs</t>
        </is>
      </c>
    </row>
    <row r="7" ht="15" customHeight="1" s="36">
      <c r="A7" s="55" t="n">
        <v>3</v>
      </c>
      <c r="B7" s="55" t="inlineStr">
        <is>
          <t>Power (pack + distribution)</t>
        </is>
      </c>
      <c r="C7" s="56" t="n">
        <v>1724</v>
      </c>
      <c r="D7" s="56" t="n">
        <v>1724</v>
      </c>
      <c r="E7" s="57" t="n"/>
      <c r="F7" s="58">
        <f>IF(E7="","",E7-C7)</f>
        <v/>
      </c>
      <c r="G7" s="59" t="inlineStr">
        <is>
          <t>6S3P pack 1449 g + PDB/BEC/wire/connectors 275 g</t>
        </is>
      </c>
    </row>
    <row r="8" ht="15" customHeight="1" s="36">
      <c r="A8" s="55" t="n">
        <v>4</v>
      </c>
      <c r="B8" s="55" t="inlineStr">
        <is>
          <t>Avionics</t>
        </is>
      </c>
      <c r="C8" s="56" t="n">
        <v>217</v>
      </c>
      <c r="D8" s="56" t="n">
        <v>217</v>
      </c>
      <c r="E8" s="57" t="n"/>
      <c r="F8" s="58">
        <f>IF(E8="","",E8-C8)</f>
        <v/>
      </c>
      <c r="G8" s="59" t="inlineStr">
        <is>
          <t>FC, 2x F9P, antennas, RX, safety switch, SD</t>
        </is>
      </c>
    </row>
    <row r="9" ht="15" customHeight="1" s="36">
      <c r="A9" s="55" t="n">
        <v>5</v>
      </c>
      <c r="B9" s="55" t="inlineStr">
        <is>
          <t>Compute &amp; perception</t>
        </is>
      </c>
      <c r="C9" s="56" t="n">
        <v>444</v>
      </c>
      <c r="D9" s="56" t="n">
        <v>444</v>
      </c>
      <c r="E9" s="57" t="n"/>
      <c r="F9" s="58">
        <f>IF(E9="","",E9-C9)</f>
        <v/>
      </c>
      <c r="G9" s="59" t="inlineStr">
        <is>
          <t>Orin Nano 185 g, camera+lens+mount, SSD, cooler, cables</t>
        </is>
      </c>
    </row>
    <row r="10" ht="15" customHeight="1" s="36">
      <c r="A10" s="55" t="n">
        <v>6</v>
      </c>
      <c r="B10" s="55" t="inlineStr">
        <is>
          <t>Communications</t>
        </is>
      </c>
      <c r="C10" s="56" t="n">
        <v>119</v>
      </c>
      <c r="D10" s="56" t="n">
        <v>119</v>
      </c>
      <c r="E10" s="57" t="n"/>
      <c r="F10" s="58">
        <f>IF(E10="","",E10-C10)</f>
        <v/>
      </c>
      <c r="G10" s="59" t="inlineStr">
        <is>
          <t>Mesh card + antennas + pigtails + 868 MHz radio</t>
        </is>
      </c>
    </row>
    <row r="11" ht="15" customHeight="1" s="36">
      <c r="A11" s="55" t="n">
        <v>7</v>
      </c>
      <c r="B11" s="55" t="inlineStr">
        <is>
          <t>Payload mechanism</t>
        </is>
      </c>
      <c r="C11" s="56" t="n">
        <v>240</v>
      </c>
      <c r="D11" s="56" t="n">
        <v>240</v>
      </c>
      <c r="E11" s="57" t="n"/>
      <c r="F11" s="58">
        <f>IF(E11="","",E11-C11)</f>
        <v/>
      </c>
      <c r="G11" s="59" t="inlineStr">
        <is>
          <t>Magazine, 4 servos, detents, switches, harness</t>
        </is>
      </c>
    </row>
    <row r="12" ht="15" customHeight="1" s="36">
      <c r="A12" s="55" t="n">
        <v>8</v>
      </c>
      <c r="B12" s="55" t="inlineStr">
        <is>
          <t>Survivor kits (4 x 200 g)</t>
        </is>
      </c>
      <c r="C12" s="56" t="n">
        <v>800</v>
      </c>
      <c r="D12" s="56" t="n">
        <v>800</v>
      </c>
      <c r="E12" s="57" t="n"/>
      <c r="F12" s="58">
        <f>IF(E12="","",E12-C12)</f>
        <v/>
      </c>
      <c r="G12" s="59" t="inlineStr">
        <is>
          <t>Rule C6 fixes this at exactly 200 g per kit</t>
        </is>
      </c>
    </row>
    <row r="14" ht="15" customHeight="1" s="36">
      <c r="B14" s="41" t="inlineStr">
        <is>
          <t>MTOW per aircraft (g)</t>
        </is>
      </c>
      <c r="D14" s="53">
        <f>SUM(D5:D12)</f>
        <v/>
      </c>
    </row>
    <row r="15" ht="22.35" customHeight="1" s="36">
      <c r="B15" s="42" t="inlineStr">
        <is>
          <t>Bottom-up line-item total, tab 01 (g)</t>
        </is>
      </c>
      <c r="D15" s="60">
        <f>'01 Air Vehicle BOM'!F69</f>
        <v/>
      </c>
      <c r="G15" s="61" t="inlineStr">
        <is>
          <t>Sum of every line on tab 01. Differs from the group rollup above because group figures are the sizing-model allocations, not the summed parts.</t>
        </is>
      </c>
    </row>
    <row r="16" ht="15" customHeight="1" s="36">
      <c r="B16" s="42" t="inlineStr">
        <is>
          <t>Reconciliation delta (g)</t>
        </is>
      </c>
      <c r="D16" s="60">
        <f>D15-D14</f>
        <v/>
      </c>
      <c r="G16" s="38" t="inlineStr">
        <is>
          <t>Investigate anything beyond +/-5%. Track the bottom-up number once parts arrive.</t>
        </is>
      </c>
    </row>
    <row r="17" ht="15" customHeight="1" s="36">
      <c r="B17" s="42" t="inlineStr">
        <is>
          <t>Aircraft in fleet</t>
        </is>
      </c>
      <c r="D17" s="60">
        <f>3</f>
        <v/>
      </c>
    </row>
    <row r="18" ht="15" customHeight="1" s="36">
      <c r="B18" s="41" t="inlineStr">
        <is>
          <t>FLEET ALL-UP WEIGHT (g)</t>
        </is>
      </c>
      <c r="D18" s="53">
        <f>D14*D17</f>
        <v/>
      </c>
    </row>
    <row r="19" ht="15" customHeight="1" s="36">
      <c r="B19" s="42" t="inlineStr">
        <is>
          <t>Rule C2 limit (g)</t>
        </is>
      </c>
      <c r="D19" s="60">
        <f>25000</f>
        <v/>
      </c>
    </row>
    <row r="20" ht="15" customHeight="1" s="36">
      <c r="B20" s="42" t="inlineStr">
        <is>
          <t>Team working target (g)</t>
        </is>
      </c>
      <c r="D20" s="60">
        <f>24000</f>
        <v/>
      </c>
    </row>
    <row r="21" ht="15" customHeight="1" s="36">
      <c r="B21" s="41" t="inlineStr">
        <is>
          <t>Margin to rule limit (g)</t>
        </is>
      </c>
      <c r="D21" s="53">
        <f>D19-D18</f>
        <v/>
      </c>
    </row>
    <row r="22" ht="15" customHeight="1" s="36">
      <c r="B22" s="41" t="inlineStr">
        <is>
          <t>Margin to rule limit (%)</t>
        </is>
      </c>
      <c r="D22" s="62">
        <f>(D19-D18)/D19</f>
        <v/>
      </c>
    </row>
    <row r="23" ht="15" customHeight="1" s="36">
      <c r="B23" s="41" t="inlineStr">
        <is>
          <t>Build overweight tolerated before hitting target</t>
        </is>
      </c>
      <c r="D23" s="63">
        <f>D20/D18-1</f>
        <v/>
      </c>
    </row>
    <row r="25" ht="15" customHeight="1" s="36">
      <c r="B25" s="41" t="inlineStr">
        <is>
          <t>PERFORMANCE AT THIS MASS (recomputed from the sizing model)</t>
        </is>
      </c>
    </row>
    <row r="26" ht="15" customHeight="1" s="36">
      <c r="B26" s="42" t="inlineStr">
        <is>
          <t>Hover electrical power (W)</t>
        </is>
      </c>
      <c r="D26" s="64" t="n">
        <v>784</v>
      </c>
      <c r="G26" s="61" t="inlineStr">
        <is>
          <t>Momentum theory, FM 0.60, 18 in props, rho 1.150</t>
        </is>
      </c>
    </row>
    <row r="27" ht="15" customHeight="1" s="36">
      <c r="B27" s="42" t="inlineStr">
        <is>
          <t>Pack usable energy (Wh, 80% DoD)</t>
        </is>
      </c>
      <c r="D27" s="64" t="n">
        <v>234</v>
      </c>
      <c r="G27" s="61" t="inlineStr">
        <is>
          <t>292 Wh x 0.80</t>
        </is>
      </c>
    </row>
    <row r="28" ht="15" customHeight="1" s="36">
      <c r="B28" s="42" t="inlineStr">
        <is>
          <t>Hover endurance (min)</t>
        </is>
      </c>
      <c r="D28" s="64" t="n">
        <v>17.9</v>
      </c>
      <c r="G28" s="61" t="inlineStr">
        <is>
          <t>Usable energy / hover power</t>
        </is>
      </c>
    </row>
    <row r="29" ht="15" customHeight="1" s="36">
      <c r="B29" s="42" t="inlineStr">
        <is>
          <t>Design mission duration (min)</t>
        </is>
      </c>
      <c r="D29" s="64" t="n">
        <v>7.7</v>
      </c>
      <c r="G29" s="61" t="inlineStr">
        <is>
          <t>Sizing §9.1 segment budget</t>
        </is>
      </c>
    </row>
    <row r="30" ht="15" customHeight="1" s="36">
      <c r="B30" s="42" t="inlineStr">
        <is>
          <t>Endurance ratio</t>
        </is>
      </c>
      <c r="D30" s="64" t="n">
        <v>2.3</v>
      </c>
      <c r="G30" s="61" t="inlineStr">
        <is>
          <t>Target &gt;= 2.0 per the reserve policy</t>
        </is>
      </c>
    </row>
    <row r="31" ht="15" customHeight="1" s="36">
      <c r="B31" s="42" t="inlineStr">
        <is>
          <t>Mission energy (Wh)</t>
        </is>
      </c>
      <c r="D31" s="64" t="n">
        <v>101</v>
      </c>
      <c r="G31" s="61" t="inlineStr">
        <is>
          <t>Scaled from the 5.05 kg case by (m/m0)^1.5</t>
        </is>
      </c>
    </row>
    <row r="32" ht="15" customHeight="1" s="36">
      <c r="B32" s="42" t="inlineStr">
        <is>
          <t>State of charge at landing (%)</t>
        </is>
      </c>
      <c r="D32" s="64" t="n">
        <v>65</v>
      </c>
      <c r="G32" s="61" t="inlineStr">
        <is>
          <t>1 - mission energy / pack energy</t>
        </is>
      </c>
    </row>
    <row r="33" ht="15" customHeight="1" s="36">
      <c r="B33" s="42" t="inlineStr">
        <is>
          <t>Hover current (A)</t>
        </is>
      </c>
      <c r="D33" s="64" t="n">
        <v>36.3</v>
      </c>
      <c r="G33" s="61" t="inlineStr">
        <is>
          <t>784 W / 21.6 V</t>
        </is>
      </c>
    </row>
    <row r="34" ht="15" customHeight="1" s="36">
      <c r="B34" s="42" t="inlineStr">
        <is>
          <t>Peak current at T/W=2 (A)</t>
        </is>
      </c>
      <c r="D34" s="64" t="n">
        <v>98</v>
      </c>
      <c r="G34" s="61" t="inlineStr">
        <is>
          <t>P ~ T^1.5, so peak power is 2.7x hover</t>
        </is>
      </c>
    </row>
    <row r="35" ht="15" customHeight="1" s="36">
      <c r="B35" s="42" t="inlineStr">
        <is>
          <t>Pack burst capability (A)</t>
        </is>
      </c>
      <c r="D35" s="64" t="n">
        <v>135</v>
      </c>
      <c r="G35" s="61" t="inlineStr">
        <is>
          <t>3P x 45 A (Molicel P45B)</t>
        </is>
      </c>
    </row>
    <row r="36" ht="15" customHeight="1" s="36">
      <c r="B36" s="42" t="inlineStr">
        <is>
          <t>Current margin (%)</t>
        </is>
      </c>
      <c r="D36" s="64" t="n">
        <v>38</v>
      </c>
      <c r="G36" s="61" t="inlineStr">
        <is>
          <t>Pack burst vs peak demand</t>
        </is>
      </c>
    </row>
    <row r="37" ht="15" customHeight="1" s="36">
      <c r="B37" s="42" t="inlineStr">
        <is>
          <t>Max thrust-to-weight</t>
        </is>
      </c>
      <c r="D37" s="64" t="n">
        <v>2.87</v>
      </c>
      <c r="G37" s="61" t="inlineStr">
        <is>
          <t>4 x 4.1 kgf / 5.71 kg</t>
        </is>
      </c>
    </row>
    <row r="38" ht="15" customHeight="1" s="36">
      <c r="B38" s="42" t="inlineStr">
        <is>
          <t>Hover throttle point (% of max thrust)</t>
        </is>
      </c>
      <c r="D38" s="64" t="n">
        <v>35</v>
      </c>
      <c r="G38" s="61" t="inlineStr">
        <is>
          <t>Below the ideal 45-55% band — over-motored, accepted for wind headroom</t>
        </is>
      </c>
    </row>
    <row r="40" ht="15" customHeight="1" s="36">
      <c r="B40" s="41" t="inlineStr">
        <is>
          <t>REVISIONS FROM THE SIZING REPORT (hardware-forced)</t>
        </is>
      </c>
    </row>
    <row r="41" ht="15" customHeight="1" s="36">
      <c r="B41" s="42" t="inlineStr">
        <is>
          <t>1. Props 20 in -&gt; 18x6.1. The MN5008 KV170 is rated for 17-18 in. Hover power rises 605 -&gt; 666 W at the old mass.</t>
        </is>
      </c>
    </row>
    <row r="42" ht="15" customHeight="1" s="36">
      <c r="B42" s="42" t="inlineStr">
        <is>
          <t>2. Pack 6S2P -&gt; 6S3P. 6S2P left only 9% current margin at peak thrust; 6S3P gives 38% and lifts the endurance ratio from 1.8x to 2.3x.</t>
        </is>
      </c>
    </row>
    <row r="43" ht="15" customHeight="1" s="36">
      <c r="B43" s="42" t="inlineStr">
        <is>
          <t>3. MTOW 5.05 -&gt; 5.71 kg; fleet 15.16 -&gt; 17.12 kg. Margin under the 25 kg rule falls from 39% to 32%. Still ample.</t>
        </is>
      </c>
    </row>
    <row r="44" ht="15" customHeight="1" s="36">
      <c r="B44" s="42" t="inlineStr">
        <is>
          <t>4. The motor is over-sized for the requirement (hover at 35% of max, not the ideal 45-55%). Accepted: T/W 2.87 buys wind and recovery authority, and the mass margin pays for it.</t>
        </is>
      </c>
    </row>
  </sheetData>
  <mergeCells count="4">
    <mergeCell ref="B44:G44"/>
    <mergeCell ref="B43:G43"/>
    <mergeCell ref="B42:G42"/>
    <mergeCell ref="B41:G4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35" min="1" max="1"/>
    <col width="44" customWidth="1" style="35" min="2" max="2"/>
    <col width="18" customWidth="1" style="35" min="3" max="5"/>
    <col width="55" customWidth="1" style="35" min="6" max="6"/>
  </cols>
  <sheetData>
    <row r="1" ht="17.35" customHeight="1" s="36">
      <c r="A1" s="37" t="inlineStr">
        <is>
          <t>08 — PROGRAMME COST SUMMARY</t>
        </is>
      </c>
    </row>
    <row r="2" ht="15" customHeight="1" s="36">
      <c r="A2" s="38" t="inlineStr">
        <is>
          <t>Indicative budgetary estimates in INR. Not quotations. Re-price at the Phase 1 procurement gate.</t>
        </is>
      </c>
    </row>
    <row r="4" ht="15" customHeight="1" s="36">
      <c r="A4" s="43" t="inlineStr">
        <is>
          <t>#</t>
        </is>
      </c>
      <c r="B4" s="43" t="inlineStr">
        <is>
          <t>Category</t>
        </is>
      </c>
      <c r="C4" s="43" t="inlineStr">
        <is>
          <t>Qty / Sets</t>
        </is>
      </c>
      <c r="D4" s="43" t="inlineStr">
        <is>
          <t>Unit Cost (INR)</t>
        </is>
      </c>
      <c r="E4" s="43" t="inlineStr">
        <is>
          <t>Extended (INR)</t>
        </is>
      </c>
      <c r="F4" s="43" t="inlineStr">
        <is>
          <t>Note</t>
        </is>
      </c>
    </row>
    <row r="5" ht="15" customHeight="1" s="36">
      <c r="A5" s="55" t="n">
        <v>1</v>
      </c>
      <c r="B5" s="55" t="inlineStr">
        <is>
          <t>Air vehicle, per aircraft</t>
        </is>
      </c>
      <c r="C5" s="65" t="n">
        <v>3</v>
      </c>
      <c r="D5" s="66">
        <f>'01 Air Vehicle BOM'!H69</f>
        <v/>
      </c>
      <c r="E5" s="66">
        <f>C5*D5</f>
        <v/>
      </c>
      <c r="F5" s="59" t="inlineStr">
        <is>
          <t>Flight hardware only. See tab 01.</t>
        </is>
      </c>
    </row>
    <row r="6" ht="15" customHeight="1" s="36">
      <c r="A6" s="55" t="n">
        <v>2</v>
      </c>
      <c r="B6" s="55" t="inlineStr">
        <is>
          <t>Payload, kits and ground-truth targets</t>
        </is>
      </c>
      <c r="C6" s="65" t="n">
        <v>1</v>
      </c>
      <c r="D6" s="66">
        <f>'02 Payload &amp; Kits'!H15</f>
        <v/>
      </c>
      <c r="E6" s="66">
        <f>C6*D6</f>
        <v/>
      </c>
      <c r="F6" s="59" t="inlineStr">
        <is>
          <t>Fleet quantities. See tab 02.</t>
        </is>
      </c>
    </row>
    <row r="7" ht="15" customHeight="1" s="36">
      <c r="A7" s="55" t="n">
        <v>3</v>
      </c>
      <c r="B7" s="55" t="inlineStr">
        <is>
          <t>Ground segment and field infrastructure</t>
        </is>
      </c>
      <c r="C7" s="65" t="n">
        <v>1</v>
      </c>
      <c r="D7" s="66">
        <f>'03 Ground Segment'!H32</f>
        <v/>
      </c>
      <c r="E7" s="66">
        <f>C7*D7</f>
        <v/>
      </c>
      <c r="F7" s="59" t="inlineStr">
        <is>
          <t>One set. See tab 03.</t>
        </is>
      </c>
    </row>
    <row r="8" ht="15" customHeight="1" s="36">
      <c r="A8" s="55" t="n">
        <v>4</v>
      </c>
      <c r="B8" s="55" t="inlineStr">
        <is>
          <t>Test, lab and calibration equipment</t>
        </is>
      </c>
      <c r="C8" s="65" t="n">
        <v>1</v>
      </c>
      <c r="D8" s="66">
        <f>'04 Test &amp; Lab Equipment'!H30</f>
        <v/>
      </c>
      <c r="E8" s="66">
        <f>C8*D8</f>
        <v/>
      </c>
      <c r="F8" s="59" t="inlineStr">
        <is>
          <t>Capital equipment. See tab 04.</t>
        </is>
      </c>
    </row>
    <row r="9" ht="15" customHeight="1" s="36">
      <c r="A9" s="55" t="n">
        <v>5</v>
      </c>
      <c r="B9" s="55" t="inlineStr">
        <is>
          <t>Spares and consumables</t>
        </is>
      </c>
      <c r="C9" s="65" t="n">
        <v>1</v>
      </c>
      <c r="D9" s="66">
        <f>'05 Spares &amp; Consumables'!H28</f>
        <v/>
      </c>
      <c r="E9" s="66">
        <f>C9*D9</f>
        <v/>
      </c>
      <c r="F9" s="59" t="inlineStr">
        <is>
          <t>Includes the optional 4th aircraft. See tab 05.</t>
        </is>
      </c>
    </row>
    <row r="10" ht="15" customHeight="1" s="36">
      <c r="A10" s="55" t="n">
        <v>6</v>
      </c>
      <c r="B10" s="55" t="inlineStr">
        <is>
          <t>Software, data and compliance</t>
        </is>
      </c>
      <c r="C10" s="65" t="n">
        <v>1</v>
      </c>
      <c r="D10" s="66">
        <f>'06 Software &amp; Data'!H29</f>
        <v/>
      </c>
      <c r="E10" s="66">
        <f>C10*D10</f>
        <v/>
      </c>
      <c r="F10" s="59" t="inlineStr">
        <is>
          <t>Near zero — open-source stack.</t>
        </is>
      </c>
    </row>
    <row r="12" ht="15" customHeight="1" s="36">
      <c r="B12" s="41" t="inlineStr">
        <is>
          <t>SUBTOTAL — hardware and equipment</t>
        </is>
      </c>
      <c r="E12" s="53">
        <f>SUM(E5:E10)</f>
        <v/>
      </c>
      <c r="F12" s="61" t="n"/>
    </row>
    <row r="13" ht="22.35" customHeight="1" s="36">
      <c r="B13" s="41" t="inlineStr">
        <is>
          <t>Customs duty + freight on imported items</t>
        </is>
      </c>
      <c r="E13" s="67">
        <f>E12*0.22</f>
        <v/>
      </c>
      <c r="F13" s="61" t="inlineStr">
        <is>
          <t>Assumed 22% blended on the ~60% of spend that is imported (motors, F9P, Jetson, T-Motor props, thrust stand). Refine per HSN code.</t>
        </is>
      </c>
    </row>
    <row r="14" ht="15" customHeight="1" s="36">
      <c r="B14" s="41" t="inlineStr">
        <is>
          <t>GST</t>
        </is>
      </c>
      <c r="E14" s="67">
        <f>(E12+E13)*0.18</f>
        <v/>
      </c>
      <c r="F14" s="61" t="inlineStr">
        <is>
          <t>18% assumed. Institutional purchases may be exempt — check.</t>
        </is>
      </c>
    </row>
    <row r="15" ht="22.35" customHeight="1" s="36">
      <c r="B15" s="41" t="inlineStr">
        <is>
          <t>Contingency</t>
        </is>
      </c>
      <c r="E15" s="67">
        <f>(E12+E13+E14)*0.2</f>
        <v/>
      </c>
      <c r="F15" s="61" t="inlineStr">
        <is>
          <t>20%. Hardware programmes with student build quality consume it: crashes, magic smoke, re-spins of the release mechanism.</t>
        </is>
      </c>
    </row>
    <row r="16" ht="15" customHeight="1" s="36">
      <c r="B16" s="41" t="inlineStr">
        <is>
          <t>TOTAL PROGRAMME COST</t>
        </is>
      </c>
      <c r="E16" s="68">
        <f>E12+E13+E14+E15</f>
        <v/>
      </c>
      <c r="F16" s="61" t="n"/>
    </row>
    <row r="18" ht="15" customHeight="1" s="36">
      <c r="B18" s="41" t="inlineStr">
        <is>
          <t>LEAN CONFIGURATION (same mission capability, reduced margin)</t>
        </is>
      </c>
    </row>
    <row r="19" ht="15" customHeight="1" s="36">
      <c r="B19" s="42" t="inlineStr">
        <is>
          <t>Deduct: 4th spare aircraft</t>
        </is>
      </c>
      <c r="E19" s="69" t="n">
        <v>-185000</v>
      </c>
    </row>
    <row r="20" ht="15" customHeight="1" s="36">
      <c r="B20" s="42" t="inlineStr">
        <is>
          <t>Deduct: RTK base station kit</t>
        </is>
      </c>
      <c r="E20" s="69" t="n">
        <v>-66500</v>
      </c>
    </row>
    <row r="21" ht="15" customHeight="1" s="36">
      <c r="B21" s="42" t="inlineStr">
        <is>
          <t>Deduct: 3x RTK rover + heading GNSS, revert to M9N</t>
        </is>
      </c>
      <c r="E21" s="69" t="n">
        <v>-165000</v>
      </c>
    </row>
    <row r="22" ht="15" customHeight="1" s="36">
      <c r="B22" s="42" t="inlineStr">
        <is>
          <t>Deduct: instrumented thrust stand, use a DIY load-cell rig</t>
        </is>
      </c>
      <c r="E22" s="69" t="n">
        <v>-130000</v>
      </c>
    </row>
    <row r="23" ht="15" customHeight="1" s="36">
      <c r="B23" s="42" t="inlineStr">
        <is>
          <t>Deduct: dev workstation, use existing lab GPU + cloud</t>
        </is>
      </c>
      <c r="E23" s="69" t="n">
        <v>-180000</v>
      </c>
    </row>
    <row r="24" ht="15" customHeight="1" s="36">
      <c r="B24" s="42" t="inlineStr">
        <is>
          <t>Deduct: backup GCS laptop, use a team member machine</t>
        </is>
      </c>
      <c r="E24" s="69" t="n">
        <v>-90000</v>
      </c>
    </row>
    <row r="25" ht="15" customHeight="1" s="36">
      <c r="B25" s="42" t="inlineStr">
        <is>
          <t>Deduct: solar panel</t>
        </is>
      </c>
      <c r="E25" s="69" t="n">
        <v>-18000</v>
      </c>
    </row>
    <row r="26" ht="15" customHeight="1" s="36">
      <c r="B26" s="41" t="inlineStr">
        <is>
          <t>LEAN SUBTOTAL</t>
        </is>
      </c>
      <c r="E26" s="67">
        <f>E12+SUM(E19:E25)</f>
        <v/>
      </c>
    </row>
    <row r="27" ht="32.8" customHeight="1" s="36">
      <c r="B27" s="41" t="inlineStr">
        <is>
          <t>LEAN TOTAL (with duty, GST, contingency)</t>
        </is>
      </c>
      <c r="E27" s="68">
        <f>E26*1.22*1.18*1.2</f>
        <v/>
      </c>
      <c r="F27" s="61" t="inlineStr">
        <is>
          <t>Accepts: no spare airframe (R4 exposure), geotag CEP ~2.5 m instead of ~1.1 m, and figure of merit stays an assumption instead of a measurement.</t>
        </is>
      </c>
    </row>
    <row r="29" ht="15" customHeight="1" s="36">
      <c r="B29" s="41" t="inlineStr">
        <is>
          <t>COST REDUCTION LEVERS (if the budget is constrained)</t>
        </is>
      </c>
    </row>
    <row r="30" ht="15" customHeight="1" s="36">
      <c r="B30" s="42" t="inlineStr">
        <is>
          <t>1. Drop the spare aircraft (~INR 1.85 L). Highest saving, highest risk. Keep component spares.</t>
        </is>
      </c>
    </row>
    <row r="31" ht="15" customHeight="1" s="36">
      <c r="B31" s="42" t="inlineStr">
        <is>
          <t>2. Drop the RTK base and rovers (~INR 1.1 L). Geotag CEP goes 1.1 m -&gt; 2.5 m. Acceptable if the rulebook tolerance is &gt;=5 m.</t>
        </is>
      </c>
    </row>
    <row r="32" ht="15" customHeight="1" s="36">
      <c r="B32" s="42" t="inlineStr">
        <is>
          <t>3. Build a DIY load-cell thrust stand instead of an RCbenchmark (~INR 1.3 L saved). Lower fidelity on the FM assumption, which is the biggest uncertainty in the power model.</t>
        </is>
      </c>
    </row>
    <row r="33" ht="15" customHeight="1" s="36">
      <c r="B33" s="42" t="inlineStr">
        <is>
          <t>4. Use an existing lab GPU workstation and cloud training instead of buying one (~INR 1.8 L).</t>
        </is>
      </c>
    </row>
    <row r="34" ht="15" customHeight="1" s="36">
      <c r="B34" s="42" t="inlineStr">
        <is>
          <t>5. Mesh Tier A (commodity 802.11 + batman-adv) is already the cheapest option — do not downgrade further; the link is mission-critical.</t>
        </is>
      </c>
    </row>
    <row r="35" ht="15" customHeight="1" s="36">
      <c r="B35" s="42" t="inlineStr">
        <is>
          <t>DO NOT CUT: the safety equipment, the calibrated weigh-in scale, the calibration targets, or the field data campaign.</t>
        </is>
      </c>
    </row>
  </sheetData>
  <mergeCells count="6">
    <mergeCell ref="B30:F30"/>
    <mergeCell ref="B34:F34"/>
    <mergeCell ref="B33:F33"/>
    <mergeCell ref="B31:F31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2026-08-06T04:50:26Z</dcterms:created>
  <dcterms:modified xmlns:dcterms="http://purl.org/dc/terms/" xmlns:xsi="http://www.w3.org/2001/XMLSchema-instance" xsi:type="dcterms:W3CDTF">2026-08-08T07:26:45Z</dcterms:modified>
  <cp:revision>0</cp:revision>
</cp:coreProperties>
</file>