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ADME" sheetId="1" state="visible" r:id="rId1"/>
    <sheet xmlns:r="http://schemas.openxmlformats.org/officeDocument/2006/relationships" name="01 Air Vehicle Budget" sheetId="2" state="visible" r:id="rId2"/>
    <sheet xmlns:r="http://schemas.openxmlformats.org/officeDocument/2006/relationships" name="02 What 40k Actually Bu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4" borderId="1" pivotButton="0" quotePrefix="0" xfId="0"/>
    <xf numFmtId="0" fontId="0" fillId="4" borderId="1" applyAlignment="1" pivotButton="0" quotePrefix="0" xfId="0">
      <alignment vertical="top"/>
    </xf>
    <xf numFmtId="3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5" borderId="0" pivotButton="0" quotePrefix="0" xfId="0"/>
    <xf numFmtId="0" fontId="2" fillId="5" borderId="0" pivotButton="0" quotePrefix="0" xfId="0"/>
    <xf numFmtId="3" fontId="0" fillId="5" borderId="0" pivotButton="0" quotePrefix="0" xfId="0"/>
    <xf numFmtId="3" fontId="2" fillId="5" borderId="0" pivotButton="0" quotePrefix="0" xfId="0"/>
    <xf numFmtId="3" fontId="0" fillId="0" borderId="0" pivotButton="0" quotePrefix="0" xfId="0"/>
    <xf numFmtId="3" fontId="2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3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RescueSwarm -- BUDGET VARIANT BOM (cost-reduction study)</t>
        </is>
      </c>
    </row>
    <row r="2">
      <c r="A2" t="inlineStr"/>
    </row>
    <row r="3">
      <c r="A3" s="2" t="inlineStr">
        <is>
          <t>WHAT THIS IS</t>
        </is>
      </c>
    </row>
    <row r="4">
      <c r="A4" t="inlineStr">
        <is>
          <t>A line-by-line cost-reduction study against hardware/bom/RescueSwarm_BOM_India.xlsx.</t>
        </is>
      </c>
    </row>
    <row r="5">
      <c r="A5" t="inlineStr">
        <is>
          <t>It is a STUDY, not a build standard. The India BOM remains authoritative and is what</t>
        </is>
      </c>
    </row>
    <row r="6">
      <c r="A6" t="inlineStr">
        <is>
          <t>cost_model.py reads and CI reproduces. Nothing here feeds any model or any published number.</t>
        </is>
      </c>
    </row>
    <row r="7">
      <c r="A7" t="inlineStr"/>
    </row>
    <row r="8">
      <c r="A8" s="2" t="inlineStr">
        <is>
          <t>THE HEADLINE, STATED PLAINLY</t>
        </is>
      </c>
    </row>
    <row r="9">
      <c r="A9" t="inlineStr">
        <is>
          <t>The target that prompted this sheet was ~40,000 INR per aircraft. That is not reachable.</t>
        </is>
      </c>
    </row>
    <row r="10">
      <c r="A10" t="inlineStr">
        <is>
          <t>Propulsion and power ALONE cost 73,050 INR in the as-costed BOM -- 1.8x the whole target --</t>
        </is>
      </c>
    </row>
    <row r="11">
      <c r="A11" t="inlineStr">
        <is>
          <t>before any frame, flight controller, GNSS, camera, radio, parachute or release mechanism.</t>
        </is>
      </c>
    </row>
    <row r="12">
      <c r="A12" t="inlineStr">
        <is>
          <t>Those two groups are sized by the mission (4 x 200 g kits, 15 min hover, 600 m range,</t>
        </is>
      </c>
    </row>
    <row r="13">
      <c r="A13" t="inlineStr">
        <is>
          <t>T/W 2.0 at 6.36 kg MTOW), not by part selection, so they do not respond to shopping harder.</t>
        </is>
      </c>
    </row>
    <row r="14">
      <c r="A14" t="inlineStr"/>
    </row>
    <row r="15">
      <c r="A15" t="inlineStr">
        <is>
          <t>Cutting every line this study can cut reaches roughly 1.88 L/aircraft, a 29% reduction.</t>
        </is>
      </c>
    </row>
    <row r="16">
      <c r="A16" t="inlineStr">
        <is>
          <t>Reaching 40,000 INR requires a different and much smaller aircraft, which is what tab</t>
        </is>
      </c>
    </row>
    <row r="17">
      <c r="A17" t="inlineStr">
        <is>
          <t>'02 What 40k Actually Buys' specifies -- along with what it cannot do.</t>
        </is>
      </c>
    </row>
    <row r="18">
      <c r="A18" t="inlineStr"/>
    </row>
    <row r="19">
      <c r="A19" s="2" t="inlineStr">
        <is>
          <t>PRICE PROVENANCE -- READ BEFORE QUOTING ANY NUMBER FROM THIS SHEET</t>
        </is>
      </c>
    </row>
    <row r="20">
      <c r="A20" t="inlineStr">
        <is>
          <t>NOT ONE PRICE IN THE BUDGET COLUMN IS A SUPPLIER QUOTE.</t>
        </is>
      </c>
    </row>
    <row r="21">
      <c r="A21" t="inlineStr">
        <is>
          <t xml:space="preserve">   LISTED  a price seen on an Indian retail listing, with the date. Real but retail,</t>
        </is>
      </c>
    </row>
    <row r="22">
      <c r="A22" t="inlineStr">
        <is>
          <t xml:space="preserve">           single-unit, and volatile.</t>
        </is>
      </c>
    </row>
    <row r="23">
      <c r="A23" t="inlineStr">
        <is>
          <t xml:space="preserve">   EST     my estimate from class and market familiarity. Directional only.</t>
        </is>
      </c>
    </row>
    <row r="24">
      <c r="A24" t="inlineStr">
        <is>
          <t xml:space="preserve">   -       no change proposed, or no cheaper equivalent exists.</t>
        </is>
      </c>
    </row>
    <row r="25">
      <c r="A25" t="inlineStr"/>
    </row>
    <row r="26">
      <c r="A26" t="inlineStr">
        <is>
          <t>The as-costed column has the same problem in places: Bharath publishes no motor price and</t>
        </is>
      </c>
    </row>
    <row r="27">
      <c r="A27" t="inlineStr">
        <is>
          <t>GODI publishes no cell price. Treat the whole comparison as directional until quotes land.</t>
        </is>
      </c>
    </row>
    <row r="28">
      <c r="A28" t="inlineStr"/>
    </row>
    <row r="29">
      <c r="A29" s="2" t="inlineStr">
        <is>
          <t>THE THREE LINES THAT DO NOT RESPOND TO COST PRESSURE</t>
        </is>
      </c>
    </row>
    <row r="30">
      <c r="A30" t="inlineStr">
        <is>
          <t xml:space="preserve">  GNSS pair (35,000)   No cheaper RTK-capable equivalent. Dropping RTK is a SCORING</t>
        </is>
      </c>
    </row>
    <row r="31">
      <c r="A31" t="inlineStr">
        <is>
          <t xml:space="preserve">                       decision worth ~125 of 200 geotag points, not a cost decision.</t>
        </is>
      </c>
    </row>
    <row r="32">
      <c r="A32" t="inlineStr">
        <is>
          <t xml:space="preserve">  Parachute (12,000)   SYS-41. Supplier still TBD and the nearest match is one size</t>
        </is>
      </c>
    </row>
    <row r="33">
      <c r="A33" t="inlineStr">
        <is>
          <t xml:space="preserve">                       undersized. Needs solving, not cheapening.</t>
        </is>
      </c>
    </row>
    <row r="34">
      <c r="A34" t="inlineStr">
        <is>
          <t xml:space="preserve">  Flight controller    The Indian Agam V6X-RT is 26,000; the imported Pixhawk 6C Mini</t>
        </is>
      </c>
    </row>
    <row r="35">
      <c r="A35" t="inlineStr">
        <is>
          <t xml:space="preserve">                       lists at 22,600 in India. A 3,400 saving to forfeit the</t>
        </is>
      </c>
    </row>
    <row r="36">
      <c r="A36" t="inlineStr">
        <is>
          <t xml:space="preserve">                       indigenisation story. RECOMMEND NOT SWAPPING.</t>
        </is>
      </c>
    </row>
    <row r="37">
      <c r="A37" t="inlineStr"/>
    </row>
    <row r="38">
      <c r="A38" s="2" t="inlineStr">
        <is>
          <t>WHAT THE BIGGEST SAVING ACTUALLY RISKS</t>
        </is>
      </c>
    </row>
    <row r="39">
      <c r="A39" t="inlineStr">
        <is>
          <t>Line 33, AI compute, 38,000 -&gt; ~18,000, is the largest single cut in this study.</t>
        </is>
      </c>
    </row>
    <row r="40">
      <c r="A40" t="inlineStr">
        <is>
          <t>It buys 13 TOPS against a &gt;=20 TOPS spec. Sizing 8.2 sized 24 inferences/s at 640x640</t>
        </is>
      </c>
    </row>
    <row r="41">
      <c r="A41" t="inlineStr">
        <is>
          <t>on an Orin Nano at 24-41 FPS. If the Hailo-8L misses 2 Hz, detection recall falls and</t>
        </is>
      </c>
    </row>
    <row r="42">
      <c r="A42" t="inlineStr">
        <is>
          <t>the geotag points fall with it. BENCHMARK IT BEFORE COMMITTING -- do not buy on the spec sheet.</t>
        </is>
      </c>
    </row>
    <row r="43">
      <c r="A43" t="inlineStr"/>
    </row>
    <row r="44">
      <c r="A44" t="inlineStr">
        <is>
          <t>Generated by tools/ from the India BOM. Study only -- not a build standard.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5" customWidth="1" min="3" max="3"/>
    <col width="11" customWidth="1" min="4" max="4"/>
    <col width="11" customWidth="1" min="5" max="5"/>
    <col width="44" customWidth="1" min="6" max="6"/>
    <col width="10" customWidth="1" min="7" max="7"/>
    <col width="11" customWidth="1" min="8" max="8"/>
    <col width="10" customWidth="1" min="9" max="9"/>
    <col width="8" customWidth="1" min="10" max="10"/>
    <col width="62" customWidth="1" min="11" max="11"/>
  </cols>
  <sheetData>
    <row r="1">
      <c r="A1" s="1" t="inlineStr">
        <is>
          <t>01 - AIR VEHICLE, BUDGET VARIANT vs AS-COSTED</t>
        </is>
      </c>
    </row>
    <row r="2">
      <c r="A2" t="inlineStr">
        <is>
          <t>Budget prices are ESTIMATES or retail LISTINGS, never quotes. See tab 00. Qty is unchanged from the India BOM throughout -- this sheet changes prices, not the design.</t>
        </is>
      </c>
    </row>
    <row r="3">
      <c r="A3" s="3" t="inlineStr">
        <is>
          <t>#</t>
        </is>
      </c>
      <c r="B3" s="3" t="inlineStr">
        <is>
          <t>Component</t>
        </is>
      </c>
      <c r="C3" s="3" t="inlineStr">
        <is>
          <t>Qty</t>
        </is>
      </c>
      <c r="D3" s="3" t="inlineStr">
        <is>
          <t>As-costed
unit (INR)</t>
        </is>
      </c>
      <c r="E3" s="3" t="inlineStr">
        <is>
          <t>As-costed
ext (INR)</t>
        </is>
      </c>
      <c r="F3" s="3" t="inlineStr">
        <is>
          <t>Budget part / decision</t>
        </is>
      </c>
      <c r="G3" s="3" t="inlineStr">
        <is>
          <t>Budget
unit (INR)</t>
        </is>
      </c>
      <c r="H3" s="3" t="inlineStr">
        <is>
          <t>Budget
ext (INR)</t>
        </is>
      </c>
      <c r="I3" s="3" t="inlineStr">
        <is>
          <t>Saving
(INR)</t>
        </is>
      </c>
      <c r="J3" s="3" t="inlineStr">
        <is>
          <t>Price
basis</t>
        </is>
      </c>
      <c r="K3" s="3" t="inlineStr">
        <is>
          <t>What the cut costs you</t>
        </is>
      </c>
    </row>
    <row r="4" ht="30" customHeight="1">
      <c r="A4" s="4" t="inlineStr">
        <is>
          <t>STRUCTURE</t>
        </is>
      </c>
      <c r="B4" s="5" t="n"/>
      <c r="C4" s="5" t="n"/>
      <c r="D4" s="6" t="n"/>
      <c r="E4" s="6" t="n"/>
      <c r="F4" s="5" t="n"/>
      <c r="G4" s="6" t="n"/>
      <c r="H4" s="6" t="n"/>
      <c r="I4" s="6" t="n"/>
      <c r="J4" s="5" t="n"/>
      <c r="K4" s="5" t="n"/>
    </row>
    <row r="5" ht="30" customHeight="1">
      <c r="A5" s="7" t="n">
        <v>1</v>
      </c>
      <c r="B5" s="8" t="inlineStr">
        <is>
          <t>Arm tube</t>
        </is>
      </c>
      <c r="C5" s="7" t="n">
        <v>4</v>
      </c>
      <c r="D5" s="9" t="n">
        <v>1100</v>
      </c>
      <c r="E5" s="9">
        <f>C5*D5</f>
        <v/>
      </c>
      <c r="F5" s="10" t="inlineStr">
        <is>
          <t>Generic CF round tube 25x23x400, Indian hobby/composite supplier</t>
        </is>
      </c>
      <c r="G5" s="9" t="n">
        <v>600</v>
      </c>
      <c r="H5" s="9">
        <f>C5*G5</f>
        <v/>
      </c>
      <c r="I5" s="9">
        <f>E5-H5</f>
        <v/>
      </c>
      <c r="J5" s="11" t="inlineStr">
        <is>
          <t>EST</t>
        </is>
      </c>
      <c r="K5" s="10" t="inlineStr">
        <is>
          <t>Loses the aerospace-fabricator pedigree. Burst/bend test the tube before flying it -- sizing 13 needs a 9.4 Nm root moment.</t>
        </is>
      </c>
    </row>
    <row r="6" ht="30" customHeight="1">
      <c r="A6" s="7" t="n">
        <v>2</v>
      </c>
      <c r="B6" s="8" t="inlineStr">
        <is>
          <t>Centre plate</t>
        </is>
      </c>
      <c r="C6" s="7" t="n">
        <v>2</v>
      </c>
      <c r="D6" s="9" t="n">
        <v>3000</v>
      </c>
      <c r="E6" s="9">
        <f>C6*D6</f>
        <v/>
      </c>
      <c r="F6" s="10" t="inlineStr">
        <is>
          <t>CNC CF sandwich 2.5 mm, generic job shop</t>
        </is>
      </c>
      <c r="G6" s="9" t="n">
        <v>1800</v>
      </c>
      <c r="H6" s="9">
        <f>C6*G6</f>
        <v/>
      </c>
      <c r="I6" s="9">
        <f>E6-H6</f>
        <v/>
      </c>
      <c r="J6" s="11" t="inlineStr">
        <is>
          <t>EST</t>
        </is>
      </c>
      <c r="K6" s="10" t="inlineStr">
        <is>
          <t>Same part, cheaper shop. Check flatness and hole tolerance on the motor/arm pattern.</t>
        </is>
      </c>
    </row>
    <row r="7" ht="30" customHeight="1">
      <c r="A7" s="12" t="n">
        <v>3</v>
      </c>
      <c r="B7" s="13" t="inlineStr">
        <is>
          <t>Arm clamp set</t>
        </is>
      </c>
      <c r="C7" s="12" t="n">
        <v>4</v>
      </c>
      <c r="D7" s="14" t="n">
        <v>750</v>
      </c>
      <c r="E7" s="14">
        <f>C7*D7</f>
        <v/>
      </c>
      <c r="F7" s="15" t="inlineStr">
        <is>
          <t>NO CHANGE -- highest-risk mechanical joint</t>
        </is>
      </c>
      <c r="G7" s="14" t="n">
        <v>750</v>
      </c>
      <c r="H7" s="14">
        <f>C7*G7</f>
        <v/>
      </c>
      <c r="I7" s="14">
        <f>E7-H7</f>
        <v/>
      </c>
      <c r="J7" s="16" t="inlineStr">
        <is>
          <t>-</t>
        </is>
      </c>
      <c r="K7" s="15" t="inlineStr">
        <is>
          <t>DO NOT CUT. Col N of the India BOM calls this the highest-risk mechanical joint.</t>
        </is>
      </c>
    </row>
    <row r="8" ht="30" customHeight="1">
      <c r="A8" s="7" t="n">
        <v>4</v>
      </c>
      <c r="B8" s="8" t="inlineStr">
        <is>
          <t>Motor mount plate</t>
        </is>
      </c>
      <c r="C8" s="7" t="n">
        <v>4</v>
      </c>
      <c r="D8" s="9" t="n">
        <v>400</v>
      </c>
      <c r="E8" s="9">
        <f>C8*D8</f>
        <v/>
      </c>
      <c r="F8" s="10" t="inlineStr">
        <is>
          <t>Generic CF 3 mm, same job shop as the centre plate</t>
        </is>
      </c>
      <c r="G8" s="9" t="n">
        <v>300</v>
      </c>
      <c r="H8" s="9">
        <f>C8*G8</f>
        <v/>
      </c>
      <c r="I8" s="9">
        <f>E8-H8</f>
        <v/>
      </c>
      <c r="J8" s="11" t="inlineStr">
        <is>
          <t>EST</t>
        </is>
      </c>
      <c r="K8" s="10" t="inlineStr">
        <is>
          <t>-</t>
        </is>
      </c>
    </row>
    <row r="9" ht="30" customHeight="1">
      <c r="A9" s="7" t="n">
        <v>5</v>
      </c>
      <c r="B9" s="8" t="inlineStr">
        <is>
          <t>Landing gear leg</t>
        </is>
      </c>
      <c r="C9" s="7" t="n">
        <v>4</v>
      </c>
      <c r="D9" s="9" t="n">
        <v>600</v>
      </c>
      <c r="E9" s="9">
        <f>C9*D9</f>
        <v/>
      </c>
      <c r="F9" s="10" t="inlineStr">
        <is>
          <t>Generic CF tube 16x300</t>
        </is>
      </c>
      <c r="G9" s="9" t="n">
        <v>400</v>
      </c>
      <c r="H9" s="9">
        <f>C9*G9</f>
        <v/>
      </c>
      <c r="I9" s="9">
        <f>E9-H9</f>
        <v/>
      </c>
      <c r="J9" s="11" t="inlineStr">
        <is>
          <t>EST</t>
        </is>
      </c>
      <c r="K9" s="10" t="inlineStr">
        <is>
          <t>Must still absorb 1.5 m/s touchdown.</t>
        </is>
      </c>
    </row>
    <row r="10" ht="30" customHeight="1">
      <c r="A10" s="7" t="n">
        <v>6</v>
      </c>
      <c r="B10" s="8" t="inlineStr">
        <is>
          <t>Landing foot</t>
        </is>
      </c>
      <c r="C10" s="7" t="n">
        <v>4</v>
      </c>
      <c r="D10" s="9" t="n">
        <v>100</v>
      </c>
      <c r="E10" s="9">
        <f>C10*D10</f>
        <v/>
      </c>
      <c r="F10" s="10" t="inlineStr">
        <is>
          <t>NO CHANGE -- printed in-house, already near zero</t>
        </is>
      </c>
      <c r="G10" s="9" t="n">
        <v>100</v>
      </c>
      <c r="H10" s="9">
        <f>C10*G10</f>
        <v/>
      </c>
      <c r="I10" s="9">
        <f>E10-H10</f>
        <v/>
      </c>
      <c r="J10" s="11" t="inlineStr">
        <is>
          <t>-</t>
        </is>
      </c>
      <c r="K10" s="10" t="inlineStr">
        <is>
          <t>-</t>
        </is>
      </c>
    </row>
    <row r="11" ht="30" customHeight="1">
      <c r="A11" s="7" t="n">
        <v>7</v>
      </c>
      <c r="B11" s="8" t="inlineStr">
        <is>
          <t>Battery tray + strap</t>
        </is>
      </c>
      <c r="C11" s="7" t="n">
        <v>1</v>
      </c>
      <c r="D11" s="9" t="n">
        <v>600</v>
      </c>
      <c r="E11" s="9">
        <f>C11*D11</f>
        <v/>
      </c>
      <c r="F11" s="10" t="inlineStr">
        <is>
          <t>Simplified tray, commodity hook-loop</t>
        </is>
      </c>
      <c r="G11" s="9" t="n">
        <v>500</v>
      </c>
      <c r="H11" s="9">
        <f>C11*G11</f>
        <v/>
      </c>
      <c r="I11" s="9">
        <f>E11-H11</f>
        <v/>
      </c>
      <c r="J11" s="11" t="inlineStr">
        <is>
          <t>EST</t>
        </is>
      </c>
      <c r="K11" s="10" t="inlineStr">
        <is>
          <t>Must still retain a 1.45 kg pack under 3 g.</t>
        </is>
      </c>
    </row>
    <row r="12" ht="30" customHeight="1">
      <c r="A12" s="12" t="n">
        <v>8</v>
      </c>
      <c r="B12" s="13" t="inlineStr">
        <is>
          <t>FC vibration mount</t>
        </is>
      </c>
      <c r="C12" s="12" t="n">
        <v>1</v>
      </c>
      <c r="D12" s="14" t="n">
        <v>350</v>
      </c>
      <c r="E12" s="14">
        <f>C12*D12</f>
        <v/>
      </c>
      <c r="F12" s="15" t="inlineStr">
        <is>
          <t>NO CHANGE -- IMU vibration is a leading failure cause</t>
        </is>
      </c>
      <c r="G12" s="14" t="n">
        <v>350</v>
      </c>
      <c r="H12" s="14">
        <f>C12*G12</f>
        <v/>
      </c>
      <c r="I12" s="14">
        <f>E12-H12</f>
        <v/>
      </c>
      <c r="J12" s="16" t="inlineStr">
        <is>
          <t>-</t>
        </is>
      </c>
      <c r="K12" s="15" t="inlineStr">
        <is>
          <t>DO NOT CUT.</t>
        </is>
      </c>
    </row>
    <row r="13" ht="30" customHeight="1">
      <c r="A13" s="7" t="n">
        <v>9</v>
      </c>
      <c r="B13" s="8" t="inlineStr">
        <is>
          <t>Electronics canopy</t>
        </is>
      </c>
      <c r="C13" s="7" t="n">
        <v>1</v>
      </c>
      <c r="D13" s="9" t="n">
        <v>500</v>
      </c>
      <c r="E13" s="9">
        <f>C13*D13</f>
        <v/>
      </c>
      <c r="F13" s="10" t="inlineStr">
        <is>
          <t>NO CHANGE -- printed in-house</t>
        </is>
      </c>
      <c r="G13" s="9" t="n">
        <v>500</v>
      </c>
      <c r="H13" s="9">
        <f>C13*G13</f>
        <v/>
      </c>
      <c r="I13" s="9">
        <f>E13-H13</f>
        <v/>
      </c>
      <c r="J13" s="11" t="inlineStr">
        <is>
          <t>-</t>
        </is>
      </c>
      <c r="K13" s="10" t="inlineStr">
        <is>
          <t>-</t>
        </is>
      </c>
    </row>
    <row r="14" ht="30" customHeight="1">
      <c r="A14" s="12" t="n">
        <v>10</v>
      </c>
      <c r="B14" s="13" t="inlineStr">
        <is>
          <t>Compute cooling blower</t>
        </is>
      </c>
      <c r="C14" s="12" t="n">
        <v>1</v>
      </c>
      <c r="D14" s="14" t="n">
        <v>400</v>
      </c>
      <c r="E14" s="14">
        <f>C14*D14</f>
        <v/>
      </c>
      <c r="F14" s="15" t="inlineStr">
        <is>
          <t>NO CHANGE -- thermal case is 18 W</t>
        </is>
      </c>
      <c r="G14" s="14" t="n">
        <v>400</v>
      </c>
      <c r="H14" s="14">
        <f>C14*G14</f>
        <v/>
      </c>
      <c r="I14" s="14">
        <f>E14-H14</f>
        <v/>
      </c>
      <c r="J14" s="16" t="inlineStr">
        <is>
          <t>-</t>
        </is>
      </c>
      <c r="K14" s="15" t="inlineStr">
        <is>
          <t>DO NOT CUT. Sizing 14.</t>
        </is>
      </c>
    </row>
    <row r="15" ht="30" customHeight="1">
      <c r="A15" s="7" t="n">
        <v>11</v>
      </c>
      <c r="B15" s="8" t="inlineStr">
        <is>
          <t>Fastener kit</t>
        </is>
      </c>
      <c r="C15" s="7" t="n">
        <v>1</v>
      </c>
      <c r="D15" s="9" t="n">
        <v>800</v>
      </c>
      <c r="E15" s="9">
        <f>C15*D15</f>
        <v/>
      </c>
      <c r="F15" s="10" t="inlineStr">
        <is>
          <t>Commodity A2 socket cap + nyloc, local</t>
        </is>
      </c>
      <c r="G15" s="9" t="n">
        <v>700</v>
      </c>
      <c r="H15" s="9">
        <f>C15*G15</f>
        <v/>
      </c>
      <c r="I15" s="9">
        <f>E15-H15</f>
        <v/>
      </c>
      <c r="J15" s="11" t="inlineStr">
        <is>
          <t>EST</t>
        </is>
      </c>
      <c r="K15" s="10" t="inlineStr">
        <is>
          <t>Keep nyloc and threadlock. No plain nuts on a vibrating airframe.</t>
        </is>
      </c>
    </row>
    <row r="16" ht="30" customHeight="1">
      <c r="A16" s="7" t="n">
        <v>12</v>
      </c>
      <c r="B16" s="8" t="inlineStr">
        <is>
          <t>Standoffs, spacers, grommets</t>
        </is>
      </c>
      <c r="C16" s="7" t="n">
        <v>1</v>
      </c>
      <c r="D16" s="9" t="n">
        <v>600</v>
      </c>
      <c r="E16" s="9">
        <f>C16*D16</f>
        <v/>
      </c>
      <c r="F16" s="10" t="inlineStr">
        <is>
          <t>Commodity</t>
        </is>
      </c>
      <c r="G16" s="9" t="n">
        <v>500</v>
      </c>
      <c r="H16" s="9">
        <f>C16*G16</f>
        <v/>
      </c>
      <c r="I16" s="9">
        <f>E16-H16</f>
        <v/>
      </c>
      <c r="J16" s="11" t="inlineStr">
        <is>
          <t>EST</t>
        </is>
      </c>
      <c r="K16" s="10" t="inlineStr">
        <is>
          <t>-</t>
        </is>
      </c>
    </row>
    <row r="17" ht="30" customHeight="1">
      <c r="A17" s="4" t="inlineStr">
        <is>
          <t>PROPULSION</t>
        </is>
      </c>
      <c r="B17" s="5" t="n"/>
      <c r="C17" s="5" t="n"/>
      <c r="D17" s="6" t="n"/>
      <c r="E17" s="6" t="n"/>
      <c r="F17" s="5" t="n"/>
      <c r="G17" s="6" t="n"/>
      <c r="H17" s="6" t="n"/>
      <c r="I17" s="6" t="n"/>
      <c r="J17" s="5" t="n"/>
      <c r="K17" s="5" t="n"/>
    </row>
    <row r="18" ht="30" customHeight="1">
      <c r="A18" s="12" t="n">
        <v>13</v>
      </c>
      <c r="B18" s="13" t="inlineStr">
        <is>
          <t>Motor</t>
        </is>
      </c>
      <c r="C18" s="12" t="n">
        <v>4</v>
      </c>
      <c r="D18" s="14" t="n">
        <v>7000</v>
      </c>
      <c r="E18" s="14">
        <f>C18*D18</f>
        <v/>
      </c>
      <c r="F18" s="15" t="inlineStr">
        <is>
          <t>Generic 6S BLDC ~150-190 KV, 3.5-4.5 kgf class</t>
        </is>
      </c>
      <c r="G18" s="14" t="n">
        <v>4500</v>
      </c>
      <c r="H18" s="14">
        <f>C18*G18</f>
        <v/>
      </c>
      <c r="I18" s="14">
        <f>E18-H18</f>
        <v/>
      </c>
      <c r="J18" s="16" t="inlineStr">
        <is>
          <t>EST</t>
        </is>
      </c>
      <c r="K18" s="15" t="inlineStr">
        <is>
          <t>MUST RE-VERIFY ON A THRUST STAND. Sizing 6 needs 2.53 kgf/motor at hover and T/W 2.0. Generic KV/thrust claims are routinely optimistic.</t>
        </is>
      </c>
    </row>
    <row r="19" ht="30" customHeight="1">
      <c r="A19" s="7" t="n">
        <v>14</v>
      </c>
      <c r="B19" s="8" t="inlineStr">
        <is>
          <t>ESC</t>
        </is>
      </c>
      <c r="C19" s="7" t="n">
        <v>4</v>
      </c>
      <c r="D19" s="9" t="n">
        <v>3000</v>
      </c>
      <c r="E19" s="9">
        <f>C19*D19</f>
        <v/>
      </c>
      <c r="F19" s="10" t="inlineStr">
        <is>
          <t>4-in-1 60 A 6S, commodity</t>
        </is>
      </c>
      <c r="G19" s="9" t="n">
        <v>1750</v>
      </c>
      <c r="H19" s="9">
        <f>C19*G19</f>
        <v/>
      </c>
      <c r="I19" s="9">
        <f>E19-H19</f>
        <v/>
      </c>
      <c r="J19" s="11" t="inlineStr">
        <is>
          <t>EST</t>
        </is>
      </c>
      <c r="K19" s="10" t="inlineStr">
        <is>
          <t>Per-motor equivalent. 4-in-1 means one failure takes all four -- a real redundancy loss on a quad with no motor-out capability.</t>
        </is>
      </c>
    </row>
    <row r="20" ht="30" customHeight="1">
      <c r="A20" s="7" t="n">
        <v>15</v>
      </c>
      <c r="B20" s="8" t="inlineStr">
        <is>
          <t>Propeller pair</t>
        </is>
      </c>
      <c r="C20" s="7" t="n">
        <v>2</v>
      </c>
      <c r="D20" s="9" t="n">
        <v>2200</v>
      </c>
      <c r="E20" s="9">
        <f>C20*D20</f>
        <v/>
      </c>
      <c r="F20" s="10" t="inlineStr">
        <is>
          <t>Generic 18 in CF folding pair</t>
        </is>
      </c>
      <c r="G20" s="9" t="n">
        <v>1400</v>
      </c>
      <c r="H20" s="9">
        <f>C20*G20</f>
        <v/>
      </c>
      <c r="I20" s="9">
        <f>E20-H20</f>
        <v/>
      </c>
      <c r="J20" s="11" t="inlineStr">
        <is>
          <t>EST</t>
        </is>
      </c>
      <c r="K20" s="10" t="inlineStr">
        <is>
          <t>Loses CSIR-NAL certification, which is a genuine differentiator in the report. Balance every prop.</t>
        </is>
      </c>
    </row>
    <row r="21" ht="30" customHeight="1">
      <c r="A21" s="7" t="n">
        <v>16</v>
      </c>
      <c r="B21" s="8" t="inlineStr">
        <is>
          <t>Prop adapter / folding hub</t>
        </is>
      </c>
      <c r="C21" s="7" t="n">
        <v>4</v>
      </c>
      <c r="D21" s="9" t="n">
        <v>500</v>
      </c>
      <c r="E21" s="9">
        <f>C21*D21</f>
        <v/>
      </c>
      <c r="F21" s="10" t="inlineStr">
        <is>
          <t>Commodity, matched to motor shaft</t>
        </is>
      </c>
      <c r="G21" s="9" t="n">
        <v>350</v>
      </c>
      <c r="H21" s="9">
        <f>C21*G21</f>
        <v/>
      </c>
      <c r="I21" s="9">
        <f>E21-H21</f>
        <v/>
      </c>
      <c r="J21" s="11" t="inlineStr">
        <is>
          <t>EST</t>
        </is>
      </c>
      <c r="K21" s="10" t="inlineStr">
        <is>
          <t>-</t>
        </is>
      </c>
    </row>
    <row r="22" ht="30" customHeight="1">
      <c r="A22" s="4" t="inlineStr">
        <is>
          <t>POWER</t>
        </is>
      </c>
      <c r="B22" s="5" t="n"/>
      <c r="C22" s="5" t="n"/>
      <c r="D22" s="6" t="n"/>
      <c r="E22" s="6" t="n"/>
      <c r="F22" s="5" t="n"/>
      <c r="G22" s="6" t="n"/>
      <c r="H22" s="6" t="n"/>
      <c r="I22" s="6" t="n"/>
      <c r="J22" s="5" t="n"/>
      <c r="K22" s="5" t="n"/>
    </row>
    <row r="23" ht="30" customHeight="1">
      <c r="A23" s="12" t="n">
        <v>17</v>
      </c>
      <c r="B23" s="13" t="inlineStr">
        <is>
          <t>Li-ion cell</t>
        </is>
      </c>
      <c r="C23" s="12" t="n">
        <v>18</v>
      </c>
      <c r="D23" s="14" t="n">
        <v>700</v>
      </c>
      <c r="E23" s="14">
        <f>C23*D23</f>
        <v/>
      </c>
      <c r="F23" s="15" t="inlineStr">
        <is>
          <t>Imported 21700 (Molicel P45B / Samsung 50S class)</t>
        </is>
      </c>
      <c r="G23" s="14" t="n">
        <v>550</v>
      </c>
      <c r="H23" s="14">
        <f>C23*G23</f>
        <v/>
      </c>
      <c r="I23" s="14">
        <f>E23-H23</f>
        <v/>
      </c>
      <c r="J23" s="16" t="inlineStr">
        <is>
          <t>EST</t>
        </is>
      </c>
      <c r="K23" s="15" t="inlineStr">
        <is>
          <t>KILLS THE INDIGENISATION STORY on the single largest Indian-content line. GODI is BIS-certified and already the weakest link; going imported makes it an import.</t>
        </is>
      </c>
    </row>
    <row r="24" ht="30" customHeight="1">
      <c r="A24" s="7" t="n">
        <v>18</v>
      </c>
      <c r="B24" s="8" t="inlineStr">
        <is>
          <t>Pack assembly</t>
        </is>
      </c>
      <c r="C24" s="7" t="n">
        <v>1</v>
      </c>
      <c r="D24" s="9" t="n">
        <v>3500</v>
      </c>
      <c r="E24" s="9">
        <f>C24*D24</f>
        <v/>
      </c>
      <c r="F24" s="10" t="inlineStr">
        <is>
          <t>Smaller pack house, same 6S3P spec</t>
        </is>
      </c>
      <c r="G24" s="9" t="n">
        <v>2500</v>
      </c>
      <c r="H24" s="9">
        <f>C24*G24</f>
        <v/>
      </c>
      <c r="I24" s="9">
        <f>E24-H24</f>
        <v/>
      </c>
      <c r="J24" s="11" t="inlineStr">
        <is>
          <t>EST</t>
        </is>
      </c>
      <c r="K24" s="10" t="inlineStr">
        <is>
          <t>Insist on capacity- and IR-matched cells regardless of price.</t>
        </is>
      </c>
    </row>
    <row r="25" ht="30" customHeight="1">
      <c r="A25" s="7" t="n">
        <v>19</v>
      </c>
      <c r="B25" s="8" t="inlineStr">
        <is>
          <t>BMS / balance board</t>
        </is>
      </c>
      <c r="C25" s="7" t="n">
        <v>1</v>
      </c>
      <c r="D25" s="9" t="n">
        <v>1600</v>
      </c>
      <c r="E25" s="9">
        <f>C25*D25</f>
        <v/>
      </c>
      <c r="F25" s="10" t="inlineStr">
        <is>
          <t>Commodity 6S BMS</t>
        </is>
      </c>
      <c r="G25" s="9" t="n">
        <v>1200</v>
      </c>
      <c r="H25" s="9">
        <f>C25*G25</f>
        <v/>
      </c>
      <c r="I25" s="9">
        <f>E25-H25</f>
        <v/>
      </c>
      <c r="J25" s="11" t="inlineStr">
        <is>
          <t>EST</t>
        </is>
      </c>
      <c r="K25" s="10" t="inlineStr">
        <is>
          <t>-</t>
        </is>
      </c>
    </row>
    <row r="26" ht="30" customHeight="1">
      <c r="A26" s="7" t="n">
        <v>20</v>
      </c>
      <c r="B26" s="8" t="inlineStr">
        <is>
          <t>Power distribution board</t>
        </is>
      </c>
      <c r="C26" s="7" t="n">
        <v>1</v>
      </c>
      <c r="D26" s="9" t="n">
        <v>1800</v>
      </c>
      <c r="E26" s="9">
        <f>C26*D26</f>
        <v/>
      </c>
      <c r="F26" s="10" t="inlineStr">
        <is>
          <t>Commodity 200 A PDB</t>
        </is>
      </c>
      <c r="G26" s="9" t="n">
        <v>1200</v>
      </c>
      <c r="H26" s="9">
        <f>C26*G26</f>
        <v/>
      </c>
      <c r="I26" s="9">
        <f>E26-H26</f>
        <v/>
      </c>
      <c r="J26" s="11" t="inlineStr">
        <is>
          <t>EST</t>
        </is>
      </c>
      <c r="K26" s="10" t="inlineStr">
        <is>
          <t>Sizing 6: 98 A peak. Do not drop below a 200 A rating.</t>
        </is>
      </c>
    </row>
    <row r="27" ht="30" customHeight="1">
      <c r="A27" s="7" t="n">
        <v>21</v>
      </c>
      <c r="B27" s="8" t="inlineStr">
        <is>
          <t>Power module / current sensor</t>
        </is>
      </c>
      <c r="C27" s="7" t="n">
        <v>1</v>
      </c>
      <c r="D27" s="9" t="n">
        <v>2800</v>
      </c>
      <c r="E27" s="9">
        <f>C27*D27</f>
        <v/>
      </c>
      <c r="F27" s="10" t="inlineStr">
        <is>
          <t>Commodity Hall-effect 100-200 A</t>
        </is>
      </c>
      <c r="G27" s="9" t="n">
        <v>1800</v>
      </c>
      <c r="H27" s="9">
        <f>C27*G27</f>
        <v/>
      </c>
      <c r="I27" s="9">
        <f>E27-H27</f>
        <v/>
      </c>
      <c r="J27" s="11" t="inlineStr">
        <is>
          <t>EST</t>
        </is>
      </c>
      <c r="K27" s="10" t="inlineStr">
        <is>
          <t>DRIVES THE LOW-BATTERY FAILSAFE. Calibrate it -- the failsafe evidence depends on this reading true.</t>
        </is>
      </c>
    </row>
    <row r="28" ht="30" customHeight="1">
      <c r="A28" s="7" t="n">
        <v>22</v>
      </c>
      <c r="B28" s="8" t="inlineStr">
        <is>
          <t>BEC 5 V and 12 V</t>
        </is>
      </c>
      <c r="C28" s="7" t="n">
        <v>2</v>
      </c>
      <c r="D28" s="9" t="n">
        <v>1000</v>
      </c>
      <c r="E28" s="9">
        <f>C28*D28</f>
        <v/>
      </c>
      <c r="F28" s="10" t="inlineStr">
        <is>
          <t>Commodity switching BEC</t>
        </is>
      </c>
      <c r="G28" s="9" t="n">
        <v>700</v>
      </c>
      <c r="H28" s="9">
        <f>C28*G28</f>
        <v/>
      </c>
      <c r="I28" s="9">
        <f>E28-H28</f>
        <v/>
      </c>
      <c r="J28" s="11" t="inlineStr">
        <is>
          <t>EST</t>
        </is>
      </c>
      <c r="K28" s="10" t="inlineStr">
        <is>
          <t>Keep the rails separate. A compute brownout must not reset the FC.</t>
        </is>
      </c>
    </row>
    <row r="29" ht="30" customHeight="1">
      <c r="A29" s="7" t="n">
        <v>23</v>
      </c>
      <c r="B29" s="8" t="inlineStr">
        <is>
          <t>Silicone wire and lugs</t>
        </is>
      </c>
      <c r="C29" s="7" t="n">
        <v>1</v>
      </c>
      <c r="D29" s="9" t="n">
        <v>1200</v>
      </c>
      <c r="E29" s="9">
        <f>C29*D29</f>
        <v/>
      </c>
      <c r="F29" s="10" t="inlineStr">
        <is>
          <t>Commodity 10/14 AWG</t>
        </is>
      </c>
      <c r="G29" s="9" t="n">
        <v>1000</v>
      </c>
      <c r="H29" s="9">
        <f>C29*G29</f>
        <v/>
      </c>
      <c r="I29" s="9">
        <f>E29-H29</f>
        <v/>
      </c>
      <c r="J29" s="11" t="inlineStr">
        <is>
          <t>EST</t>
        </is>
      </c>
      <c r="K29" s="10" t="inlineStr">
        <is>
          <t>10 AWG minimum on mains. Do not undersize.</t>
        </is>
      </c>
    </row>
    <row r="30" ht="30" customHeight="1">
      <c r="A30" s="7" t="n">
        <v>24</v>
      </c>
      <c r="B30" s="8" t="inlineStr">
        <is>
          <t>Connectors</t>
        </is>
      </c>
      <c r="C30" s="7" t="n">
        <v>1</v>
      </c>
      <c r="D30" s="9" t="n">
        <v>900</v>
      </c>
      <c r="E30" s="9">
        <f>C30*D30</f>
        <v/>
      </c>
      <c r="F30" s="10" t="inlineStr">
        <is>
          <t>Commodity XT90-S</t>
        </is>
      </c>
      <c r="G30" s="9" t="n">
        <v>700</v>
      </c>
      <c r="H30" s="9">
        <f>C30*G30</f>
        <v/>
      </c>
      <c r="I30" s="9">
        <f>E30-H30</f>
        <v/>
      </c>
      <c r="J30" s="11" t="inlineStr">
        <is>
          <t>EST</t>
        </is>
      </c>
      <c r="K30" s="10" t="inlineStr">
        <is>
          <t>Anti-spark is mandatory at 292 Wh.</t>
        </is>
      </c>
    </row>
    <row r="31" ht="30" customHeight="1">
      <c r="A31" s="7" t="n">
        <v>25</v>
      </c>
      <c r="B31" s="8" t="inlineStr">
        <is>
          <t>Buzzer + LED</t>
        </is>
      </c>
      <c r="C31" s="7" t="n">
        <v>1</v>
      </c>
      <c r="D31" s="9" t="n">
        <v>250</v>
      </c>
      <c r="E31" s="9">
        <f>C31*D31</f>
        <v/>
      </c>
      <c r="F31" s="10" t="inlineStr">
        <is>
          <t>NO CHANGE -- already trivial</t>
        </is>
      </c>
      <c r="G31" s="9" t="n">
        <v>250</v>
      </c>
      <c r="H31" s="9">
        <f>C31*G31</f>
        <v/>
      </c>
      <c r="I31" s="9">
        <f>E31-H31</f>
        <v/>
      </c>
      <c r="J31" s="11" t="inlineStr">
        <is>
          <t>-</t>
        </is>
      </c>
      <c r="K31" s="10" t="inlineStr">
        <is>
          <t>-</t>
        </is>
      </c>
    </row>
    <row r="32" ht="30" customHeight="1">
      <c r="A32" s="4" t="inlineStr">
        <is>
          <t>AVIONICS</t>
        </is>
      </c>
      <c r="B32" s="5" t="n"/>
      <c r="C32" s="5" t="n"/>
      <c r="D32" s="6" t="n"/>
      <c r="E32" s="6" t="n"/>
      <c r="F32" s="5" t="n"/>
      <c r="G32" s="6" t="n"/>
      <c r="H32" s="6" t="n"/>
      <c r="I32" s="6" t="n"/>
      <c r="J32" s="5" t="n"/>
      <c r="K32" s="5" t="n"/>
    </row>
    <row r="33" ht="30" customHeight="1">
      <c r="A33" s="12" t="n">
        <v>26</v>
      </c>
      <c r="B33" s="13" t="inlineStr">
        <is>
          <t>Flight controller</t>
        </is>
      </c>
      <c r="C33" s="12" t="n">
        <v>1</v>
      </c>
      <c r="D33" s="14" t="n">
        <v>26000</v>
      </c>
      <c r="E33" s="14">
        <f>C33*D33</f>
        <v/>
      </c>
      <c r="F33" s="15" t="inlineStr">
        <is>
          <t>Holybro Pixhawk 6C Mini (STM32H743)</t>
        </is>
      </c>
      <c r="G33" s="14" t="n">
        <v>22600</v>
      </c>
      <c r="H33" s="14">
        <f>C33*G33</f>
        <v/>
      </c>
      <c r="I33" s="14">
        <f>E33-H33</f>
        <v/>
      </c>
      <c r="J33" s="16" t="inlineStr">
        <is>
          <t>LISTED</t>
        </is>
      </c>
      <c r="K33" s="15" t="inlineStr">
        <is>
          <t>SAVES ONLY 3,400 AND FORFEITS THE INDIAN-FC STORY. Indian listed price, Aug 2026. RECOMMEND KEEPING THE AGAM V6X-RT -- this swap is bad value.</t>
        </is>
      </c>
    </row>
    <row r="34" ht="30" customHeight="1">
      <c r="A34" s="7" t="n">
        <v>27</v>
      </c>
      <c r="B34" s="8" t="inlineStr">
        <is>
          <t>VEGA co-processor board</t>
        </is>
      </c>
      <c r="C34" s="7" t="n">
        <v>1</v>
      </c>
      <c r="D34" s="9" t="n">
        <v>0</v>
      </c>
      <c r="E34" s="9">
        <f>C34*D34</f>
        <v/>
      </c>
      <c r="F34" s="10" t="inlineStr">
        <is>
          <t>NO CHANGE -- already 0 INR (free C-DAC kits)</t>
        </is>
      </c>
      <c r="G34" s="9" t="n">
        <v>0</v>
      </c>
      <c r="H34" s="9">
        <f>C34*G34</f>
        <v/>
      </c>
      <c r="I34" s="9">
        <f>E34-H34</f>
        <v/>
      </c>
      <c r="J34" s="11" t="inlineStr">
        <is>
          <t>-</t>
        </is>
      </c>
      <c r="K34" s="10" t="inlineStr">
        <is>
          <t>Cannot be cut: it costs nothing. See the separate note on what it can and cannot do -- it is not an AI accelerator.</t>
        </is>
      </c>
    </row>
    <row r="35" ht="30" customHeight="1">
      <c r="A35" s="7" t="n">
        <v>28</v>
      </c>
      <c r="B35" s="8" t="inlineStr">
        <is>
          <t>GNSS primary</t>
        </is>
      </c>
      <c r="C35" s="7" t="n">
        <v>1</v>
      </c>
      <c r="D35" s="9" t="n">
        <v>18000</v>
      </c>
      <c r="E35" s="9">
        <f>C35*D35</f>
        <v/>
      </c>
      <c r="F35" s="10" t="inlineStr">
        <is>
          <t>NO CHEAPER RTK-CAPABLE EQUIVALENT</t>
        </is>
      </c>
      <c r="G35" s="9" t="n">
        <v>18000</v>
      </c>
      <c r="H35" s="9">
        <f>C35*G35</f>
        <v/>
      </c>
      <c r="I35" s="9">
        <f>E35-H35</f>
        <v/>
      </c>
      <c r="J35" s="11" t="inlineStr">
        <is>
          <t>-</t>
        </is>
      </c>
      <c r="K35" s="10" t="inlineStr">
        <is>
          <t>Non-RTK M10 modules are ~3,000 but drop geotag to case A (~3.1 m), costing ~125 of 200 points. Not a cost decision -- a scoring decision.</t>
        </is>
      </c>
    </row>
    <row r="36" ht="30" customHeight="1">
      <c r="A36" s="7" t="n">
        <v>29</v>
      </c>
      <c r="B36" s="8" t="inlineStr">
        <is>
          <t>GNSS secondary (heading)</t>
        </is>
      </c>
      <c r="C36" s="7" t="n">
        <v>1</v>
      </c>
      <c r="D36" s="9" t="n">
        <v>17000</v>
      </c>
      <c r="E36" s="9">
        <f>C36*D36</f>
        <v/>
      </c>
      <c r="F36" s="10" t="inlineStr">
        <is>
          <t>NO CHEAPER EQUIVALENT</t>
        </is>
      </c>
      <c r="G36" s="9" t="n">
        <v>17000</v>
      </c>
      <c r="H36" s="9">
        <f>C36*G36</f>
        <v/>
      </c>
      <c r="I36" s="9">
        <f>E36-H36</f>
        <v/>
      </c>
      <c r="J36" s="11" t="inlineStr">
        <is>
          <t>-</t>
        </is>
      </c>
      <c r="K36" s="10" t="inlineStr">
        <is>
          <t>Moving-baseline yaw. A magnetometer beside a 98 A bus is not a heading source.</t>
        </is>
      </c>
    </row>
    <row r="37" ht="30" customHeight="1">
      <c r="A37" s="7" t="n">
        <v>30</v>
      </c>
      <c r="B37" s="8" t="inlineStr">
        <is>
          <t>GNSS antenna</t>
        </is>
      </c>
      <c r="C37" s="7" t="n">
        <v>2</v>
      </c>
      <c r="D37" s="9" t="n">
        <v>3200</v>
      </c>
      <c r="E37" s="9">
        <f>C37*D37</f>
        <v/>
      </c>
      <c r="F37" s="10" t="inlineStr">
        <is>
          <t>Commodity multi-band L1/L5 patch</t>
        </is>
      </c>
      <c r="G37" s="9" t="n">
        <v>2000</v>
      </c>
      <c r="H37" s="9">
        <f>C37*G37</f>
        <v/>
      </c>
      <c r="I37" s="9">
        <f>E37-H37</f>
        <v/>
      </c>
      <c r="J37" s="11" t="inlineStr">
        <is>
          <t>EST</t>
        </is>
      </c>
      <c r="K37" s="10" t="inlineStr">
        <is>
          <t>Antenna quality directly limits RTK fix time. Cheapest is a false economy here.</t>
        </is>
      </c>
    </row>
    <row r="38" ht="30" customHeight="1">
      <c r="A38" s="7" t="n">
        <v>31</v>
      </c>
      <c r="B38" s="8" t="inlineStr">
        <is>
          <t>RC receiver</t>
        </is>
      </c>
      <c r="C38" s="7" t="n">
        <v>1</v>
      </c>
      <c r="D38" s="9" t="n">
        <v>2000</v>
      </c>
      <c r="E38" s="9">
        <f>C38*D38</f>
        <v/>
      </c>
      <c r="F38" s="10" t="inlineStr">
        <is>
          <t>Commodity ELRS 2.4 GHz</t>
        </is>
      </c>
      <c r="G38" s="9" t="n">
        <v>1200</v>
      </c>
      <c r="H38" s="9">
        <f>C38*G38</f>
        <v/>
      </c>
      <c r="I38" s="9">
        <f>E38-H38</f>
        <v/>
      </c>
      <c r="J38" s="11" t="inlineStr">
        <is>
          <t>EST</t>
        </is>
      </c>
      <c r="K38" s="10" t="inlineStr">
        <is>
          <t>Loses Zerodrag's Indian-made content for 800 INR. Marginal.</t>
        </is>
      </c>
    </row>
    <row r="39" ht="30" customHeight="1">
      <c r="A39" s="7" t="n">
        <v>32</v>
      </c>
      <c r="B39" s="8" t="inlineStr">
        <is>
          <t>Safety switch, LED, SD cards</t>
        </is>
      </c>
      <c r="C39" s="7" t="n">
        <v>1</v>
      </c>
      <c r="D39" s="9" t="n">
        <v>1400</v>
      </c>
      <c r="E39" s="9">
        <f>C39*D39</f>
        <v/>
      </c>
      <c r="F39" s="10" t="inlineStr">
        <is>
          <t>Commodity switch + 2x32 GB industrial SD</t>
        </is>
      </c>
      <c r="G39" s="9" t="n">
        <v>1000</v>
      </c>
      <c r="H39" s="9">
        <f>C39*G39</f>
        <v/>
      </c>
      <c r="I39" s="9">
        <f>E39-H39</f>
        <v/>
      </c>
      <c r="J39" s="11" t="inlineStr">
        <is>
          <t>EST</t>
        </is>
      </c>
      <c r="K39" s="10" t="inlineStr">
        <is>
          <t>Keep INDUSTRIAL-grade SD. Consumer cards corrupt logs, and every flight must be logged.</t>
        </is>
      </c>
    </row>
    <row r="40" ht="30" customHeight="1">
      <c r="A40" s="4" t="inlineStr">
        <is>
          <t>COMPUTE AND PERCEPTION</t>
        </is>
      </c>
      <c r="B40" s="5" t="n"/>
      <c r="C40" s="5" t="n"/>
      <c r="D40" s="6" t="n"/>
      <c r="E40" s="6" t="n"/>
      <c r="F40" s="5" t="n"/>
      <c r="G40" s="6" t="n"/>
      <c r="H40" s="6" t="n"/>
      <c r="I40" s="6" t="n"/>
      <c r="J40" s="5" t="n"/>
      <c r="K40" s="5" t="n"/>
    </row>
    <row r="41" ht="30" customHeight="1">
      <c r="A41" s="12" t="n">
        <v>33</v>
      </c>
      <c r="B41" s="13" t="inlineStr">
        <is>
          <t>AI compute module</t>
        </is>
      </c>
      <c r="C41" s="12" t="n">
        <v>1</v>
      </c>
      <c r="D41" s="14" t="n">
        <v>38000</v>
      </c>
      <c r="E41" s="14">
        <f>C41*D41</f>
        <v/>
      </c>
      <c r="F41" s="15" t="inlineStr">
        <is>
          <t>Raspberry Pi 5 8GB + AI HAT+ (Hailo-8L, 13 TOPS)</t>
        </is>
      </c>
      <c r="G41" s="14" t="n">
        <v>18000</v>
      </c>
      <c r="H41" s="14">
        <f>C41*G41</f>
        <v/>
      </c>
      <c r="I41" s="14">
        <f>E41-H41</f>
        <v/>
      </c>
      <c r="J41" s="16" t="inlineStr">
        <is>
          <t>EST</t>
        </is>
      </c>
      <c r="K41" s="15" t="inlineStr">
        <is>
          <t>BIGGEST SAVING AND BIGGEST RISK. 13 TOPS against a &gt;=20 TOPS spec. Sizing 8.2 sizes 24 inferences/s at 640x640 on an Orin Nano (24-41 FPS). BENCHMARK BEFORE COMMITTING -- if it misses 2 Hz, detection recall falls and the 200 geotag points go with it.</t>
        </is>
      </c>
    </row>
    <row r="42" ht="30" customHeight="1">
      <c r="A42" s="7" t="n">
        <v>34</v>
      </c>
      <c r="B42" s="8" t="inlineStr">
        <is>
          <t>Storage</t>
        </is>
      </c>
      <c r="C42" s="7" t="n">
        <v>1</v>
      </c>
      <c r="D42" s="9" t="n">
        <v>2800</v>
      </c>
      <c r="E42" s="9">
        <f>C42*D42</f>
        <v/>
      </c>
      <c r="F42" s="10" t="inlineStr">
        <is>
          <t>256 GB industrial SD instead of M.2 NVMe</t>
        </is>
      </c>
      <c r="G42" s="9" t="n">
        <v>1200</v>
      </c>
      <c r="H42" s="9">
        <f>C42*G42</f>
        <v/>
      </c>
      <c r="I42" s="9">
        <f>E42-H42</f>
        <v/>
      </c>
      <c r="J42" s="11" t="inlineStr">
        <is>
          <t>EST</t>
        </is>
      </c>
      <c r="K42" s="10" t="inlineStr">
        <is>
          <t>Slower raw-imagery write. Check it sustains the capture rate before flying.</t>
        </is>
      </c>
    </row>
    <row r="43" ht="30" customHeight="1">
      <c r="A43" s="7" t="n">
        <v>35</v>
      </c>
      <c r="B43" s="8" t="inlineStr">
        <is>
          <t>Camera module</t>
        </is>
      </c>
      <c r="C43" s="7" t="n">
        <v>1</v>
      </c>
      <c r="D43" s="9" t="n">
        <v>14000</v>
      </c>
      <c r="E43" s="9">
        <f>C43*D43</f>
        <v/>
      </c>
      <c r="F43" s="10" t="inlineStr">
        <is>
          <t>Generic IMX477 12 MP CSI-2 module</t>
        </is>
      </c>
      <c r="G43" s="9" t="n">
        <v>6000</v>
      </c>
      <c r="H43" s="9">
        <f>C43*G43</f>
        <v/>
      </c>
      <c r="I43" s="9">
        <f>E43-H43</f>
        <v/>
      </c>
      <c r="J43" s="11" t="inlineStr">
        <is>
          <t>EST</t>
        </is>
      </c>
      <c r="K43" s="10" t="inlineStr">
        <is>
          <t>Loses e-con's ISP tuning and Indian content. GSD and low-light performance must be re-measured -- sizing 8 assumes 2 cm/px at 60 m.</t>
        </is>
      </c>
    </row>
    <row r="44" ht="30" customHeight="1">
      <c r="A44" s="7" t="n">
        <v>36</v>
      </c>
      <c r="B44" s="8" t="inlineStr">
        <is>
          <t>Lens</t>
        </is>
      </c>
      <c r="C44" s="7" t="n">
        <v>1</v>
      </c>
      <c r="D44" s="9" t="n">
        <v>2600</v>
      </c>
      <c r="E44" s="9">
        <f>C44*D44</f>
        <v/>
      </c>
      <c r="F44" s="10" t="inlineStr">
        <is>
          <t>Commodity 6 mm M12</t>
        </is>
      </c>
      <c r="G44" s="9" t="n">
        <v>1500</v>
      </c>
      <c r="H44" s="9">
        <f>C44*G44</f>
        <v/>
      </c>
      <c r="I44" s="9">
        <f>E44-H44</f>
        <v/>
      </c>
      <c r="J44" s="11" t="inlineStr">
        <is>
          <t>EST</t>
        </is>
      </c>
      <c r="K44" s="10" t="inlineStr">
        <is>
          <t>Verify HFOV ~63 deg by measurement, not datasheet.</t>
        </is>
      </c>
    </row>
    <row r="45" ht="30" customHeight="1">
      <c r="A45" s="12" t="n">
        <v>37</v>
      </c>
      <c r="B45" s="13" t="inlineStr">
        <is>
          <t>Camera mount</t>
        </is>
      </c>
      <c r="C45" s="12" t="n">
        <v>1</v>
      </c>
      <c r="D45" s="14" t="n">
        <v>1200</v>
      </c>
      <c r="E45" s="14">
        <f>C45*D45</f>
        <v/>
      </c>
      <c r="F45" s="15" t="inlineStr">
        <is>
          <t>NO CHANGE -- in-house, boresight-critical</t>
        </is>
      </c>
      <c r="G45" s="14" t="n">
        <v>1200</v>
      </c>
      <c r="H45" s="14">
        <f>C45*G45</f>
        <v/>
      </c>
      <c r="I45" s="14">
        <f>E45-H45</f>
        <v/>
      </c>
      <c r="J45" s="16" t="inlineStr">
        <is>
          <t>-</t>
        </is>
      </c>
      <c r="K45" s="15" t="inlineStr">
        <is>
          <t>DO NOT CUT. Sizing 11: boresight residual is a direct geotag error term.</t>
        </is>
      </c>
    </row>
    <row r="46" ht="30" customHeight="1">
      <c r="A46" s="7" t="n">
        <v>38</v>
      </c>
      <c r="B46" s="8" t="inlineStr">
        <is>
          <t>Cabling and cooling</t>
        </is>
      </c>
      <c r="C46" s="7" t="n">
        <v>1</v>
      </c>
      <c r="D46" s="9" t="n">
        <v>3500</v>
      </c>
      <c r="E46" s="9">
        <f>C46*D46</f>
        <v/>
      </c>
      <c r="F46" s="10" t="inlineStr">
        <is>
          <t>Commodity CSI ribbon + heatsink</t>
        </is>
      </c>
      <c r="G46" s="9" t="n">
        <v>2500</v>
      </c>
      <c r="H46" s="9">
        <f>C46*G46</f>
        <v/>
      </c>
      <c r="I46" s="9">
        <f>E46-H46</f>
        <v/>
      </c>
      <c r="J46" s="11" t="inlineStr">
        <is>
          <t>EST</t>
        </is>
      </c>
      <c r="K46" s="10" t="inlineStr">
        <is>
          <t>Keep CSI runs shielded and away from the power bus.</t>
        </is>
      </c>
    </row>
    <row r="47" ht="30" customHeight="1">
      <c r="A47" s="4" t="inlineStr">
        <is>
          <t>COMMUNICATIONS</t>
        </is>
      </c>
      <c r="B47" s="5" t="n"/>
      <c r="C47" s="5" t="n"/>
      <c r="D47" s="6" t="n"/>
      <c r="E47" s="6" t="n"/>
      <c r="F47" s="5" t="n"/>
      <c r="G47" s="6" t="n"/>
      <c r="H47" s="6" t="n"/>
      <c r="I47" s="6" t="n"/>
      <c r="J47" s="5" t="n"/>
      <c r="K47" s="5" t="n"/>
    </row>
    <row r="48" ht="30" customHeight="1">
      <c r="A48" s="12" t="n">
        <v>39</v>
      </c>
      <c r="B48" s="13" t="inlineStr">
        <is>
          <t>Mesh node</t>
        </is>
      </c>
      <c r="C48" s="12" t="n">
        <v>1</v>
      </c>
      <c r="D48" s="14" t="n">
        <v>9000</v>
      </c>
      <c r="E48" s="14">
        <f>C48*D48</f>
        <v/>
      </c>
      <c r="F48" s="15" t="inlineStr">
        <is>
          <t>Generic 802.11s node (Ubiquiti-class) -- see note</t>
        </is>
      </c>
      <c r="G48" s="14" t="n">
        <v>7000</v>
      </c>
      <c r="H48" s="14">
        <f>C48*G48</f>
        <v/>
      </c>
      <c r="I48" s="14">
        <f>E48-H48</f>
        <v/>
      </c>
      <c r="J48" s="16" t="inlineStr">
        <is>
          <t>EST</t>
        </is>
      </c>
      <c r="K48" s="15" t="inlineStr">
        <is>
          <t>The as-costed line is ALREADY UNSOURCED: FxUAV's mesh module is 928 MHz, not the 2.4/5.8 GHz this line specifies. Both columns need reselection, so the 'saving' here is not real yet.</t>
        </is>
      </c>
    </row>
    <row r="49" ht="30" customHeight="1">
      <c r="A49" s="7" t="n">
        <v>40</v>
      </c>
      <c r="B49" s="8" t="inlineStr">
        <is>
          <t>5.8 GHz antennas</t>
        </is>
      </c>
      <c r="C49" s="7" t="n">
        <v>2</v>
      </c>
      <c r="D49" s="9" t="n">
        <v>700</v>
      </c>
      <c r="E49" s="9">
        <f>C49*D49</f>
        <v/>
      </c>
      <c r="F49" s="10" t="inlineStr">
        <is>
          <t>Commodity 3 dBi RP-SMA dipole</t>
        </is>
      </c>
      <c r="G49" s="9" t="n">
        <v>500</v>
      </c>
      <c r="H49" s="9">
        <f>C49*G49</f>
        <v/>
      </c>
      <c r="I49" s="9">
        <f>E49-H49</f>
        <v/>
      </c>
      <c r="J49" s="11" t="inlineStr">
        <is>
          <t>EST</t>
        </is>
      </c>
      <c r="K49" s="10" t="inlineStr">
        <is>
          <t>-</t>
        </is>
      </c>
    </row>
    <row r="50" ht="30" customHeight="1">
      <c r="A50" s="7" t="n">
        <v>41</v>
      </c>
      <c r="B50" s="8" t="inlineStr">
        <is>
          <t>Sub-GHz safety radio</t>
        </is>
      </c>
      <c r="C50" s="7" t="n">
        <v>1</v>
      </c>
      <c r="D50" s="9" t="n">
        <v>7500</v>
      </c>
      <c r="E50" s="9">
        <f>C50*D50</f>
        <v/>
      </c>
      <c r="F50" s="10" t="inlineStr">
        <is>
          <t>Generic 865-867 MHz LoRa telemetry pair</t>
        </is>
      </c>
      <c r="G50" s="9" t="n">
        <v>3500</v>
      </c>
      <c r="H50" s="9">
        <f>C50*G50</f>
        <v/>
      </c>
      <c r="I50" s="9">
        <f>E50-H50</f>
        <v/>
      </c>
      <c r="J50" s="11" t="inlineStr">
        <is>
          <t>EST</t>
        </is>
      </c>
      <c r="K50" s="10" t="inlineStr">
        <is>
          <t>Same caveat: FxUAV's part is 928 MHz, outside the Indian delicensed band. Must be reselected in both columns.</t>
        </is>
      </c>
    </row>
    <row r="51" ht="30" customHeight="1">
      <c r="A51" s="7" t="n">
        <v>42</v>
      </c>
      <c r="B51" s="8" t="inlineStr">
        <is>
          <t>868 MHz antenna</t>
        </is>
      </c>
      <c r="C51" s="7" t="n">
        <v>1</v>
      </c>
      <c r="D51" s="9" t="n">
        <v>600</v>
      </c>
      <c r="E51" s="9">
        <f>C51*D51</f>
        <v/>
      </c>
      <c r="F51" s="10" t="inlineStr">
        <is>
          <t>Commodity 2 dBi dipole</t>
        </is>
      </c>
      <c r="G51" s="9" t="n">
        <v>400</v>
      </c>
      <c r="H51" s="9">
        <f>C51*G51</f>
        <v/>
      </c>
      <c r="I51" s="9">
        <f>E51-H51</f>
        <v/>
      </c>
      <c r="J51" s="11" t="inlineStr">
        <is>
          <t>EST</t>
        </is>
      </c>
      <c r="K51" s="10" t="inlineStr">
        <is>
          <t>Mount orthogonally to the 5.8 GHz antennas.</t>
        </is>
      </c>
    </row>
    <row r="52" ht="30" customHeight="1">
      <c r="A52" s="4" t="inlineStr">
        <is>
          <t>PAYLOAD SYSTEM</t>
        </is>
      </c>
      <c r="B52" s="5" t="n"/>
      <c r="C52" s="5" t="n"/>
      <c r="D52" s="6" t="n"/>
      <c r="E52" s="6" t="n"/>
      <c r="F52" s="5" t="n"/>
      <c r="G52" s="6" t="n"/>
      <c r="H52" s="6" t="n"/>
      <c r="I52" s="6" t="n"/>
      <c r="J52" s="5" t="n"/>
      <c r="K52" s="5" t="n"/>
    </row>
    <row r="53" ht="30" customHeight="1">
      <c r="A53" s="7" t="n">
        <v>43</v>
      </c>
      <c r="B53" s="8" t="inlineStr">
        <is>
          <t>Release servo</t>
        </is>
      </c>
      <c r="C53" s="7" t="n">
        <v>4</v>
      </c>
      <c r="D53" s="9" t="n">
        <v>700</v>
      </c>
      <c r="E53" s="9">
        <f>C53*D53</f>
        <v/>
      </c>
      <c r="F53" s="10" t="inlineStr">
        <is>
          <t>Commodity metal-gear digital micro servo</t>
        </is>
      </c>
      <c r="G53" s="9" t="n">
        <v>450</v>
      </c>
      <c r="H53" s="9">
        <f>C53*G53</f>
        <v/>
      </c>
      <c r="I53" s="9">
        <f>E53-H53</f>
        <v/>
      </c>
      <c r="J53" s="11" t="inlineStr">
        <is>
          <t>EST</t>
        </is>
      </c>
      <c r="K53" s="10" t="inlineStr">
        <is>
          <t>Metal gear, not nylon. A stripped gear is a failed delivery.</t>
        </is>
      </c>
    </row>
    <row r="54" ht="30" customHeight="1">
      <c r="A54" s="7" t="n">
        <v>44</v>
      </c>
      <c r="B54" s="8" t="inlineStr">
        <is>
          <t>Magazine housing</t>
        </is>
      </c>
      <c r="C54" s="7" t="n">
        <v>1</v>
      </c>
      <c r="D54" s="9" t="n">
        <v>800</v>
      </c>
      <c r="E54" s="9">
        <f>C54*D54</f>
        <v/>
      </c>
      <c r="F54" s="10" t="inlineStr">
        <is>
          <t>NO CHANGE -- printed in-house</t>
        </is>
      </c>
      <c r="G54" s="9" t="n">
        <v>800</v>
      </c>
      <c r="H54" s="9">
        <f>C54*G54</f>
        <v/>
      </c>
      <c r="I54" s="9">
        <f>E54-H54</f>
        <v/>
      </c>
      <c r="J54" s="11" t="inlineStr">
        <is>
          <t>-</t>
        </is>
      </c>
      <c r="K54" s="10" t="inlineStr">
        <is>
          <t>-</t>
        </is>
      </c>
    </row>
    <row r="55" ht="30" customHeight="1">
      <c r="A55" s="12" t="n">
        <v>45</v>
      </c>
      <c r="B55" s="13" t="inlineStr">
        <is>
          <t>Positive-lock detent</t>
        </is>
      </c>
      <c r="C55" s="12" t="n">
        <v>4</v>
      </c>
      <c r="D55" s="14" t="n">
        <v>250</v>
      </c>
      <c r="E55" s="14">
        <f>C55*D55</f>
        <v/>
      </c>
      <c r="F55" s="15" t="inlineStr">
        <is>
          <t>NO CHANGE -- CRITICAL SAFETY ITEM</t>
        </is>
      </c>
      <c r="G55" s="14" t="n">
        <v>250</v>
      </c>
      <c r="H55" s="14">
        <f>C55*G55</f>
        <v/>
      </c>
      <c r="I55" s="14">
        <f>E55-H55</f>
        <v/>
      </c>
      <c r="J55" s="16" t="inlineStr">
        <is>
          <t>-</t>
        </is>
      </c>
      <c r="K55" s="15" t="inlineStr">
        <is>
          <t>DO NOT CUT. A brownout must not drop a kit.</t>
        </is>
      </c>
    </row>
    <row r="56" ht="30" customHeight="1">
      <c r="A56" s="7" t="n">
        <v>46</v>
      </c>
      <c r="B56" s="8" t="inlineStr">
        <is>
          <t>Release confirmation switch</t>
        </is>
      </c>
      <c r="C56" s="7" t="n">
        <v>4</v>
      </c>
      <c r="D56" s="9" t="n">
        <v>150</v>
      </c>
      <c r="E56" s="9">
        <f>C56*D56</f>
        <v/>
      </c>
      <c r="F56" s="10" t="inlineStr">
        <is>
          <t>Commodity micro lever switch</t>
        </is>
      </c>
      <c r="G56" s="9" t="n">
        <v>125</v>
      </c>
      <c r="H56" s="9">
        <f>C56*G56</f>
        <v/>
      </c>
      <c r="I56" s="9">
        <f>E56-H56</f>
        <v/>
      </c>
      <c r="J56" s="11" t="inlineStr">
        <is>
          <t>EST</t>
        </is>
      </c>
      <c r="K56" s="10" t="inlineStr">
        <is>
          <t>-</t>
        </is>
      </c>
    </row>
    <row r="57" ht="30" customHeight="1">
      <c r="A57" s="7" t="n">
        <v>47</v>
      </c>
      <c r="B57" s="8" t="inlineStr">
        <is>
          <t>Servo harness</t>
        </is>
      </c>
      <c r="C57" s="7" t="n">
        <v>1</v>
      </c>
      <c r="D57" s="9" t="n">
        <v>200</v>
      </c>
      <c r="E57" s="9">
        <f>C57*D57</f>
        <v/>
      </c>
      <c r="F57" s="10" t="inlineStr">
        <is>
          <t>NO CHANGE</t>
        </is>
      </c>
      <c r="G57" s="9" t="n">
        <v>200</v>
      </c>
      <c r="H57" s="9">
        <f>C57*G57</f>
        <v/>
      </c>
      <c r="I57" s="9">
        <f>E57-H57</f>
        <v/>
      </c>
      <c r="J57" s="11" t="inlineStr">
        <is>
          <t>-</t>
        </is>
      </c>
      <c r="K57" s="10" t="inlineStr">
        <is>
          <t>-</t>
        </is>
      </c>
    </row>
    <row r="58" ht="30" customHeight="1">
      <c r="A58" s="4" t="inlineStr">
        <is>
          <t>SAFETY</t>
        </is>
      </c>
      <c r="B58" s="5" t="n"/>
      <c r="C58" s="5" t="n"/>
      <c r="D58" s="6" t="n"/>
      <c r="E58" s="6" t="n"/>
      <c r="F58" s="5" t="n"/>
      <c r="G58" s="6" t="n"/>
      <c r="H58" s="6" t="n"/>
      <c r="I58" s="6" t="n"/>
      <c r="J58" s="5" t="n"/>
      <c r="K58" s="5" t="n"/>
    </row>
    <row r="59" ht="30" customHeight="1">
      <c r="A59" s="12" t="n">
        <v>48</v>
      </c>
      <c r="B59" s="13" t="inlineStr">
        <is>
          <t>Recovery parachute</t>
        </is>
      </c>
      <c r="C59" s="12" t="n">
        <v>1</v>
      </c>
      <c r="D59" s="14" t="n">
        <v>12000</v>
      </c>
      <c r="E59" s="14">
        <f>C59*D59</f>
        <v/>
      </c>
      <c r="F59" s="15" t="inlineStr">
        <is>
          <t>NO CHEAPER OPTION -- and the current one is undersized</t>
        </is>
      </c>
      <c r="G59" s="14" t="n">
        <v>12000</v>
      </c>
      <c r="H59" s="14">
        <f>C59*G59</f>
        <v/>
      </c>
      <c r="I59" s="14">
        <f>E59-H59</f>
        <v/>
      </c>
      <c r="J59" s="16" t="inlineStr">
        <is>
          <t>-</t>
        </is>
      </c>
      <c r="K59" s="15" t="inlineStr">
        <is>
          <t>DO NOT CUT. SYS-41. Supplier is still TBD and the nearest match (Fruity Chutes Harrier) is rated 6.2 kg against a 6.36 kg MTOW. This line needs solving, not cheapening.</t>
        </is>
      </c>
    </row>
    <row r="60" ht="30" customHeight="1">
      <c r="A60" s="7" t="n">
        <v>49</v>
      </c>
      <c r="B60" s="8" t="inlineStr">
        <is>
          <t>Parachute mount + bridle</t>
        </is>
      </c>
      <c r="C60" s="7" t="n">
        <v>1</v>
      </c>
      <c r="D60" s="9" t="n">
        <v>1500</v>
      </c>
      <c r="E60" s="9">
        <f>C60*D60</f>
        <v/>
      </c>
      <c r="F60" s="10" t="inlineStr">
        <is>
          <t>Simplified bridle, same Kevlar spec</t>
        </is>
      </c>
      <c r="G60" s="9" t="n">
        <v>1200</v>
      </c>
      <c r="H60" s="9">
        <f>C60*G60</f>
        <v/>
      </c>
      <c r="I60" s="9">
        <f>E60-H60</f>
        <v/>
      </c>
      <c r="J60" s="11" t="inlineStr">
        <is>
          <t>EST</t>
        </is>
      </c>
      <c r="K60" s="10" t="inlineStr">
        <is>
          <t>Must be designed into the frame, not added to it.</t>
        </is>
      </c>
    </row>
    <row r="61">
      <c r="A61" s="17" t="n"/>
      <c r="B61" s="18" t="inlineStr">
        <is>
          <t>TOTAL, PER AIRCRAFT</t>
        </is>
      </c>
      <c r="C61" s="17" t="n"/>
      <c r="D61" s="19" t="n"/>
      <c r="E61" s="20">
        <f>SUM(E4:E60)</f>
        <v/>
      </c>
      <c r="F61" s="17" t="n"/>
      <c r="G61" s="19" t="n"/>
      <c r="H61" s="20">
        <f>SUM(H4:H60)</f>
        <v/>
      </c>
      <c r="I61" s="20">
        <f>SUM(I4:I60)</f>
        <v/>
      </c>
      <c r="J61" s="17" t="n"/>
      <c r="K61" s="17" t="n"/>
    </row>
    <row r="62">
      <c r="B62" s="2" t="inlineStr">
        <is>
          <t>Reduction</t>
        </is>
      </c>
      <c r="D62" s="21" t="n"/>
      <c r="E62" s="21" t="n"/>
      <c r="G62" s="21" t="n"/>
      <c r="H62" s="21" t="n"/>
      <c r="I62" s="22">
        <f>I61/E61</f>
        <v/>
      </c>
    </row>
    <row r="63">
      <c r="D63" s="21" t="n"/>
      <c r="E63" s="21" t="n"/>
      <c r="G63" s="21" t="n"/>
      <c r="H63" s="21" t="n"/>
      <c r="I63" s="21" t="n"/>
    </row>
    <row r="64">
      <c r="B64" t="inlineStr">
        <is>
          <t>x3 for the fleet</t>
        </is>
      </c>
      <c r="D64" s="21" t="n"/>
      <c r="E64" s="21">
        <f>E61*3</f>
        <v/>
      </c>
      <c r="G64" s="21" t="n"/>
      <c r="H64" s="21">
        <f>H61*3</f>
        <v/>
      </c>
      <c r="I64" s="21">
        <f>I61*3</f>
        <v/>
      </c>
    </row>
    <row r="66">
      <c r="B66" s="2" t="inlineStr">
        <is>
          <t>TARGET THAT PROMPTED THIS SHEET</t>
        </is>
      </c>
      <c r="G66" s="2" t="n">
        <v>40000</v>
      </c>
    </row>
    <row r="67">
      <c r="B67" t="inlineStr">
        <is>
          <t>Budget variant as a multiple of that target</t>
        </is>
      </c>
      <c r="G67" s="23">
        <f>H61/G66</f>
        <v/>
      </c>
    </row>
    <row r="68">
      <c r="B68" s="24" t="inlineStr">
        <is>
          <t>Propulsion + power alone, as-costed -- already 1.8x the target, and mission-driven</t>
        </is>
      </c>
      <c r="G68" t="n">
        <v>73050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02 - WHAT 40,000 INR ACTUALLY BUYS</t>
        </is>
      </c>
    </row>
    <row r="2">
      <c r="A2" t="inlineStr">
        <is>
          <t>A real, buildable aircraft at the target price. It is not a cheaper RescueSwarm -- it is a different and much smaller aircraft that cannot fly the NIDAR mission.</t>
        </is>
      </c>
    </row>
    <row r="3">
      <c r="A3" s="2" t="inlineStr">
        <is>
          <t>Its honest use is as a DEVELOPMENT MULE: see the bottom of this tab.</t>
        </is>
      </c>
    </row>
    <row r="5">
      <c r="A5" s="25" t="inlineStr">
        <is>
          <t>Item</t>
        </is>
      </c>
      <c r="B5" s="25" t="inlineStr">
        <is>
          <t>Part class</t>
        </is>
      </c>
      <c r="C5" s="25" t="inlineStr">
        <is>
          <t>Qty</t>
        </is>
      </c>
      <c r="D5" s="25" t="inlineStr">
        <is>
          <t>Unit (INR)</t>
        </is>
      </c>
      <c r="E5" s="25" t="inlineStr">
        <is>
          <t>Ext (INR)</t>
        </is>
      </c>
      <c r="F5" s="25" t="inlineStr">
        <is>
          <t>Basis</t>
        </is>
      </c>
    </row>
    <row r="6">
      <c r="A6" t="inlineStr">
        <is>
          <t>Frame</t>
        </is>
      </c>
      <c r="B6" s="26" t="inlineStr">
        <is>
          <t>450 mm CF/glass quad kit, commodity</t>
        </is>
      </c>
      <c r="C6" t="n">
        <v>1</v>
      </c>
      <c r="D6" s="21" t="n">
        <v>2500</v>
      </c>
      <c r="E6" s="21">
        <f>C6*D6</f>
        <v/>
      </c>
      <c r="F6" s="27" t="inlineStr">
        <is>
          <t>EST</t>
        </is>
      </c>
    </row>
    <row r="7">
      <c r="A7" t="inlineStr">
        <is>
          <t>Motor</t>
        </is>
      </c>
      <c r="B7" s="26" t="inlineStr">
        <is>
          <t>2216-class 900-950 KV</t>
        </is>
      </c>
      <c r="C7" t="n">
        <v>4</v>
      </c>
      <c r="D7" s="21" t="n">
        <v>600</v>
      </c>
      <c r="E7" s="21">
        <f>C7*D7</f>
        <v/>
      </c>
      <c r="F7" s="27" t="inlineStr">
        <is>
          <t>EST</t>
        </is>
      </c>
    </row>
    <row r="8">
      <c r="A8" t="inlineStr">
        <is>
          <t>ESC</t>
        </is>
      </c>
      <c r="B8" s="26" t="inlineStr">
        <is>
          <t>4-in-1 30 A</t>
        </is>
      </c>
      <c r="C8" t="n">
        <v>1</v>
      </c>
      <c r="D8" s="21" t="n">
        <v>2500</v>
      </c>
      <c r="E8" s="21">
        <f>C8*D8</f>
        <v/>
      </c>
      <c r="F8" s="27" t="inlineStr">
        <is>
          <t>EST</t>
        </is>
      </c>
    </row>
    <row r="9">
      <c r="A9" t="inlineStr">
        <is>
          <t>Propeller</t>
        </is>
      </c>
      <c r="B9" s="26" t="inlineStr">
        <is>
          <t>10 in plastic, CW/CCW set</t>
        </is>
      </c>
      <c r="C9" t="n">
        <v>2</v>
      </c>
      <c r="D9" s="21" t="n">
        <v>150</v>
      </c>
      <c r="E9" s="21">
        <f>C9*D9</f>
        <v/>
      </c>
      <c r="F9" s="27" t="inlineStr">
        <is>
          <t>EST</t>
        </is>
      </c>
    </row>
    <row r="10">
      <c r="A10" t="inlineStr">
        <is>
          <t>Flight controller</t>
        </is>
      </c>
      <c r="B10" s="26" t="inlineStr">
        <is>
          <t>F405-class (Matek / SpeedyBee), ArduPilot-capable</t>
        </is>
      </c>
      <c r="C10" t="n">
        <v>1</v>
      </c>
      <c r="D10" s="21" t="n">
        <v>4500</v>
      </c>
      <c r="E10" s="21">
        <f>C10*D10</f>
        <v/>
      </c>
      <c r="F10" s="27" t="inlineStr">
        <is>
          <t>EST</t>
        </is>
      </c>
    </row>
    <row r="11">
      <c r="A11" t="inlineStr">
        <is>
          <t>GNSS</t>
        </is>
      </c>
      <c r="B11" s="26" t="inlineStr">
        <is>
          <t>M10, non-RTK</t>
        </is>
      </c>
      <c r="C11" t="n">
        <v>1</v>
      </c>
      <c r="D11" s="21" t="n">
        <v>2500</v>
      </c>
      <c r="E11" s="21">
        <f>C11*D11</f>
        <v/>
      </c>
      <c r="F11" s="27" t="inlineStr">
        <is>
          <t>EST</t>
        </is>
      </c>
    </row>
    <row r="12">
      <c r="A12" t="inlineStr">
        <is>
          <t>Battery</t>
        </is>
      </c>
      <c r="B12" s="26" t="inlineStr">
        <is>
          <t>4S 5200 mAh LiPo</t>
        </is>
      </c>
      <c r="C12" t="n">
        <v>2</v>
      </c>
      <c r="D12" s="21" t="n">
        <v>3500</v>
      </c>
      <c r="E12" s="21">
        <f>C12*D12</f>
        <v/>
      </c>
      <c r="F12" s="27" t="inlineStr">
        <is>
          <t>EST</t>
        </is>
      </c>
    </row>
    <row r="13">
      <c r="A13" t="inlineStr">
        <is>
          <t>RC receiver</t>
        </is>
      </c>
      <c r="B13" s="26" t="inlineStr">
        <is>
          <t>ELRS 2.4 GHz</t>
        </is>
      </c>
      <c r="C13" t="n">
        <v>1</v>
      </c>
      <c r="D13" s="21" t="n">
        <v>1200</v>
      </c>
      <c r="E13" s="21">
        <f>C13*D13</f>
        <v/>
      </c>
      <c r="F13" s="27" t="inlineStr">
        <is>
          <t>EST</t>
        </is>
      </c>
    </row>
    <row r="14">
      <c r="A14" t="inlineStr">
        <is>
          <t>Telemetry radio</t>
        </is>
      </c>
      <c r="B14" s="26" t="inlineStr">
        <is>
          <t>915 MHz pair</t>
        </is>
      </c>
      <c r="C14" t="n">
        <v>1</v>
      </c>
      <c r="D14" s="21" t="n">
        <v>2000</v>
      </c>
      <c r="E14" s="21">
        <f>C14*D14</f>
        <v/>
      </c>
      <c r="F14" s="27" t="inlineStr">
        <is>
          <t>EST</t>
        </is>
      </c>
    </row>
    <row r="15">
      <c r="A15" t="inlineStr">
        <is>
          <t>Camera + compute</t>
        </is>
      </c>
      <c r="B15" s="26" t="inlineStr">
        <is>
          <t>Pi Zero 2 W + CSI camera (streaming only, NO inference)</t>
        </is>
      </c>
      <c r="C15" t="n">
        <v>1</v>
      </c>
      <c r="D15" s="21" t="n">
        <v>4500</v>
      </c>
      <c r="E15" s="21">
        <f>C15*D15</f>
        <v/>
      </c>
      <c r="F15" s="27" t="inlineStr">
        <is>
          <t>EST</t>
        </is>
      </c>
    </row>
    <row r="16">
      <c r="A16" t="inlineStr">
        <is>
          <t>Release servo</t>
        </is>
      </c>
      <c r="B16" s="26" t="inlineStr">
        <is>
          <t>Single-station micro servo + printed catch</t>
        </is>
      </c>
      <c r="C16" t="n">
        <v>1</v>
      </c>
      <c r="D16" s="21" t="n">
        <v>700</v>
      </c>
      <c r="E16" s="21">
        <f>C16*D16</f>
        <v/>
      </c>
      <c r="F16" s="27" t="inlineStr">
        <is>
          <t>EST</t>
        </is>
      </c>
    </row>
    <row r="17">
      <c r="A17" t="inlineStr">
        <is>
          <t>PDB, wiring, connectors</t>
        </is>
      </c>
      <c r="B17" s="26" t="inlineStr">
        <is>
          <t>Commodity</t>
        </is>
      </c>
      <c r="C17" t="n">
        <v>1</v>
      </c>
      <c r="D17" s="21" t="n">
        <v>1800</v>
      </c>
      <c r="E17" s="21">
        <f>C17*D17</f>
        <v/>
      </c>
      <c r="F17" s="27" t="inlineStr">
        <is>
          <t>EST</t>
        </is>
      </c>
    </row>
    <row r="18">
      <c r="A18" t="inlineStr">
        <is>
          <t>Fasteners, standoffs, misc</t>
        </is>
      </c>
      <c r="B18" s="26" t="inlineStr">
        <is>
          <t>Commodity</t>
        </is>
      </c>
      <c r="C18" t="n">
        <v>1</v>
      </c>
      <c r="D18" s="21" t="n">
        <v>1000</v>
      </c>
      <c r="E18" s="21">
        <f>C18*D18</f>
        <v/>
      </c>
      <c r="F18" s="27" t="inlineStr">
        <is>
          <t>EST</t>
        </is>
      </c>
    </row>
    <row r="19">
      <c r="A19" t="inlineStr">
        <is>
          <t>Props/spares for a test campaign</t>
        </is>
      </c>
      <c r="B19" s="26" t="inlineStr">
        <is>
          <t>Commodity</t>
        </is>
      </c>
      <c r="C19" t="n">
        <v>1</v>
      </c>
      <c r="D19" s="21" t="n">
        <v>2500</v>
      </c>
      <c r="E19" s="21">
        <f>C19*D19</f>
        <v/>
      </c>
      <c r="F19" s="27" t="inlineStr">
        <is>
          <t>EST</t>
        </is>
      </c>
    </row>
    <row r="20">
      <c r="A20" s="18" t="inlineStr">
        <is>
          <t>TOTAL</t>
        </is>
      </c>
      <c r="B20" s="17" t="n"/>
      <c r="C20" s="17" t="n"/>
      <c r="D20" s="19" t="n"/>
      <c r="E20" s="20">
        <f>SUM(E6:E19)</f>
        <v/>
      </c>
      <c r="F20" s="17" t="n"/>
    </row>
    <row r="22">
      <c r="A22" s="2" t="inlineStr">
        <is>
          <t>WHAT IT CANNOT DO -- every one of these is a rulebook or requirement failure</t>
        </is>
      </c>
    </row>
    <row r="23">
      <c r="A23" s="28" t="inlineStr">
        <is>
          <t>Requirement</t>
        </is>
      </c>
      <c r="B23" s="28" t="inlineStr">
        <is>
          <t>Why this aircraft fails it</t>
        </is>
      </c>
    </row>
    <row r="24" ht="30" customHeight="1">
      <c r="A24" s="29" t="inlineStr">
        <is>
          <t>Carry 4 x 200 g kits</t>
        </is>
      </c>
      <c r="B24" s="26" t="inlineStr">
        <is>
          <t>800 g of payload on a ~1.3 kg airframe. The payload fraction is not survivable at this size, and rule C6 fixes the kit at exactly 200 g.</t>
        </is>
      </c>
    </row>
    <row r="25" ht="30" customHeight="1">
      <c r="A25" s="29" t="inlineStr">
        <is>
          <t>SYS-14  15 min hover endurance</t>
        </is>
      </c>
      <c r="B25" s="26" t="inlineStr">
        <is>
          <t>Not at that payload fraction on a 4S 5200 pack. Endurance collapses exactly when loaded.</t>
        </is>
      </c>
    </row>
    <row r="26" ht="30" customHeight="1">
      <c r="A26" s="29" t="inlineStr">
        <is>
          <t>SYS-41  recovery parachute</t>
        </is>
      </c>
      <c r="B26" s="26" t="inlineStr">
        <is>
          <t>No parachute, and no mass budget to add one. Straight requirement failure.</t>
        </is>
      </c>
    </row>
    <row r="27" ht="30" customHeight="1">
      <c r="A27" s="29" t="inlineStr">
        <is>
          <t>Rule 8.14  live feed from EACH drone</t>
        </is>
      </c>
      <c r="B27" s="26" t="inlineStr">
        <is>
          <t>Pi Zero 2 W cannot encode H.264 at the needed rate for three concurrent feeds within the 2.5 Mbps budget.</t>
        </is>
      </c>
    </row>
    <row r="28" ht="30" customHeight="1">
      <c r="A28" s="29" t="inlineStr">
        <is>
          <t>Onboard detection at 2 Hz</t>
        </is>
      </c>
      <c r="B28" s="26" t="inlineStr">
        <is>
          <t>No NPU or GPU of any kind. Sizing 8.2's tiling budget is unreachable by orders of magnitude.</t>
        </is>
      </c>
    </row>
    <row r="29" ht="30" customHeight="1">
      <c r="A29" s="29" t="inlineStr">
        <is>
          <t>Geotag accuracy (200 pts)</t>
        </is>
      </c>
      <c r="B29" s="26" t="inlineStr">
        <is>
          <t>Non-RTK M10 gives ~3.1 m against ~1.3 m with RTK. Roughly 125 of 200 points forfeited.</t>
        </is>
      </c>
    </row>
    <row r="30" ht="30" customHeight="1">
      <c r="A30" s="29" t="inlineStr">
        <is>
          <t>SYS-04  T/W 2.0 at MTOW</t>
        </is>
      </c>
      <c r="B30" s="26" t="inlineStr">
        <is>
          <t>Loaded, this airframe is nowhere near 2.0. Control authority and margin both go.</t>
        </is>
      </c>
    </row>
    <row r="31" ht="30" customHeight="1">
      <c r="A31" s="29" t="inlineStr">
        <is>
          <t>600 m range with link margin</t>
        </is>
      </c>
      <c r="B31" s="26" t="inlineStr">
        <is>
          <t>A single 915 MHz link with no mesh and no redundant safety radio.</t>
        </is>
      </c>
    </row>
    <row r="33">
      <c r="A33" s="2" t="inlineStr">
        <is>
          <t>THE USEFUL VERSION OF THIS IDEA</t>
        </is>
      </c>
    </row>
    <row r="34">
      <c r="A34" t="inlineStr">
        <is>
          <t>This aircraft is worthless as a competition entry and genuinely valuable as a DEVELOPMENT MULE.</t>
        </is>
      </c>
    </row>
    <row r="35">
      <c r="A35" t="inlineStr"/>
    </row>
    <row r="36">
      <c r="A36" t="inlineStr">
        <is>
          <t>The programme's binding constraint is an 8-week flight-test window, and every hour of it currently</t>
        </is>
      </c>
    </row>
    <row r="37">
      <c r="A37" t="inlineStr">
        <is>
          <t>has to be flown on a 2.64 L aircraft that does not exist yet and cannot be risked once it does.</t>
        </is>
      </c>
    </row>
    <row r="38">
      <c r="A38" t="inlineStr">
        <is>
          <t>A 40,000 INR mule flies from week 1 and absorbs the work that does not need the real airframe:</t>
        </is>
      </c>
    </row>
    <row r="39">
      <c r="A39" t="inlineStr"/>
    </row>
    <row r="40">
      <c r="A40" t="inlineStr">
        <is>
          <t xml:space="preserve">   - GCS integration, mission-file parse, partition and render against a real MAVLink stream</t>
        </is>
      </c>
    </row>
    <row r="41">
      <c r="A41" t="inlineStr">
        <is>
          <t xml:space="preserve">   - the mavlink-router multi-SYSID path with real radios instead of SITL loopback</t>
        </is>
      </c>
    </row>
    <row r="42">
      <c r="A42" t="inlineStr">
        <is>
          <t xml:space="preserve">   - pilot currency, launch/recovery procedure, and the 5-minute setup drill (SYS-21 is</t>
        </is>
      </c>
    </row>
    <row r="43">
      <c r="A43" t="inlineStr">
        <is>
          <t xml:space="preserve">     MODELLED, NOT MEASURED, and bench-measuring it is the highest-priority test in the programme)</t>
        </is>
      </c>
    </row>
    <row r="44">
      <c r="A44" t="inlineStr">
        <is>
          <t xml:space="preserve">   - failsafe behaviour on real hardware, where BATT_FS_LOW_ACT being wrong costs a cheap airframe</t>
        </is>
      </c>
    </row>
    <row r="45">
      <c r="A45" t="inlineStr">
        <is>
          <t xml:space="preserve">   - crash-and-rebuild practice, which is what the spares set exists to survive</t>
        </is>
      </c>
    </row>
    <row r="46">
      <c r="A46" t="inlineStr"/>
    </row>
    <row r="47">
      <c r="A47" t="inlineStr">
        <is>
          <t>Three mules cost roughly what one line 33 AI compute module costs, and they de-risk the</t>
        </is>
      </c>
    </row>
    <row r="48">
      <c r="A48" t="inlineStr">
        <is>
          <t>single most expensive failure mode this project has: discovering on the real aircraft, in week 7,</t>
        </is>
      </c>
    </row>
    <row r="49">
      <c r="A49" t="inlineStr">
        <is>
          <t>that a config was never in the execution path. HANDOFF.md section 5 records four instances of</t>
        </is>
      </c>
    </row>
    <row r="50">
      <c r="A50" t="inlineStr">
        <is>
          <t>exactly that, every one of which reviewed clean and had passing tests around it.</t>
        </is>
      </c>
    </row>
    <row r="51">
      <c r="A51" t="inlineStr"/>
    </row>
    <row r="52">
      <c r="A52" s="2" t="inlineStr">
        <is>
          <t>RECOMMENDATION: do not pursue a 40,000 INR competition aircraft -- it cannot exist.</t>
        </is>
      </c>
    </row>
    <row r="53">
      <c r="A53" t="inlineStr">
        <is>
          <t>Do consider 40,000 INR mules as flight-test infrastructure, funded from contingency.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2026-08-10T17:49:34Z</dcterms:created>
  <dcterms:modified xmlns:dcterms="http://purl.org/dc/terms/" xmlns:xsi="http://www.w3.org/2001/XMLSchema-instance" xsi:type="dcterms:W3CDTF">2026-08-10T17:49:34Z</dcterms:modified>
</cp:coreProperties>
</file>