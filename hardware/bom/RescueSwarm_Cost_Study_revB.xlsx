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Air Vehicle BOM" sheetId="2" state="visible" r:id="rId2"/>
    <sheet xmlns:r="http://schemas.openxmlformats.org/officeDocument/2006/relationships" name="02 Market Evidence" sheetId="3" state="visible" r:id="rId3"/>
    <sheet xmlns:r="http://schemas.openxmlformats.org/officeDocument/2006/relationships" name="03 Repricing" sheetId="4" state="visible" r:id="rId4"/>
    <sheet xmlns:r="http://schemas.openxmlformats.org/officeDocument/2006/relationships" name="04 Decisions Required" sheetId="5" state="visible" r:id="rId5"/>
    <sheet xmlns:r="http://schemas.openxmlformats.org/officeDocument/2006/relationships" name="05 Indigenisation Impact" sheetId="6" state="visible" r:id="rId6"/>
    <sheet xmlns:r="http://schemas.openxmlformats.org/officeDocument/2006/relationships" name="06 What 40k Buys" sheetId="7" state="visible" r:id="rId7"/>
  </sheets>
  <definedNames/>
  <calcPr calcId="124519" fullCalcOnLoad="1"/>
</workbook>
</file>

<file path=xl/styles.xml><?xml version="1.0" encoding="utf-8"?>
<styleSheet xmlns="http://schemas.openxmlformats.org/spreadsheetml/2006/main">
  <numFmts count="1">
    <numFmt numFmtId="164" formatCode="#,##0;[Red]-#,##0"/>
  </numFmts>
  <fonts count="9">
    <font>
      <name val="Calibri"/>
      <family val="2"/>
      <color theme="1"/>
      <sz val="11"/>
      <scheme val="minor"/>
    </font>
    <font>
      <b val="1"/>
      <color rgb="001F4E79"/>
      <sz val="15"/>
    </font>
    <font>
      <color rgb="00595959"/>
      <sz val="10"/>
    </font>
    <font>
      <b val="1"/>
      <sz val="11"/>
    </font>
    <font>
      <b val="1"/>
      <color rgb="00C00000"/>
    </font>
    <font>
      <b val="1"/>
    </font>
    <font>
      <b val="1"/>
      <color rgb="00FFFFFF"/>
      <sz val="9"/>
    </font>
    <font>
      <sz val="9"/>
    </font>
    <font>
      <color rgb="000563C1"/>
      <sz val="9"/>
      <u val="single"/>
    </font>
  </fonts>
  <fills count="9">
    <fill>
      <patternFill/>
    </fill>
    <fill>
      <patternFill patternType="gray125"/>
    </fill>
    <fill>
      <patternFill patternType="solid">
        <fgColor rgb="001F4E79"/>
      </patternFill>
    </fill>
    <fill>
      <patternFill patternType="solid">
        <fgColor rgb="00D9E2F3"/>
      </patternFill>
    </fill>
    <fill>
      <patternFill patternType="solid">
        <fgColor rgb="00F8CBAD"/>
      </patternFill>
    </fill>
    <fill>
      <patternFill patternType="solid">
        <fgColor rgb="00FCE4D6"/>
      </patternFill>
    </fill>
    <fill>
      <patternFill patternType="solid">
        <fgColor rgb="00FFF2CC"/>
      </patternFill>
    </fill>
    <fill>
      <patternFill patternType="solid">
        <fgColor rgb="00E2EFDA"/>
      </patternFill>
    </fill>
    <fill>
      <patternFill patternType="solid">
        <fgColor rgb="00F2F2F2"/>
      </patternFill>
    </fill>
  </fills>
  <borders count="2">
    <border>
      <left/>
      <right/>
      <top/>
      <bottom/>
      <diagonal/>
    </border>
    <border>
      <bottom style="thin">
        <color rgb="00D0D0D0"/>
      </bottom>
    </border>
  </borders>
  <cellStyleXfs count="1">
    <xf numFmtId="0" fontId="0" fillId="0" borderId="0"/>
  </cellStyleXfs>
  <cellXfs count="5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horizontal="center" vertical="center" wrapText="1"/>
    </xf>
    <xf numFmtId="0" fontId="3" fillId="3" borderId="0" pivotButton="0" quotePrefix="0" xfId="0"/>
    <xf numFmtId="0" fontId="0" fillId="3" borderId="0" pivotButton="0" quotePrefix="0" xfId="0"/>
    <xf numFmtId="3" fontId="0" fillId="3" borderId="0" pivotButton="0" quotePrefix="0" xfId="0"/>
    <xf numFmtId="0" fontId="7" fillId="0" borderId="1" applyAlignment="1" pivotButton="0" quotePrefix="0" xfId="0">
      <alignment horizontal="center" vertical="top"/>
    </xf>
    <xf numFmtId="0" fontId="7" fillId="0" borderId="1" applyAlignment="1" pivotButton="0" quotePrefix="0" xfId="0">
      <alignment vertical="top" wrapText="1"/>
    </xf>
    <xf numFmtId="9" fontId="7" fillId="0" borderId="1" applyAlignment="1" pivotButton="0" quotePrefix="0" xfId="0">
      <alignment horizontal="center" vertical="top"/>
    </xf>
    <xf numFmtId="3" fontId="7" fillId="0" borderId="1" pivotButton="0" quotePrefix="0" xfId="0"/>
    <xf numFmtId="0" fontId="7" fillId="4" borderId="1" applyAlignment="1" pivotButton="0" quotePrefix="0" xfId="0">
      <alignment horizontal="center" vertical="top"/>
    </xf>
    <xf numFmtId="0" fontId="7" fillId="4" borderId="1" applyAlignment="1" pivotButton="0" quotePrefix="0" xfId="0">
      <alignment vertical="top" wrapText="1"/>
    </xf>
    <xf numFmtId="9" fontId="7" fillId="4" borderId="1" applyAlignment="1" pivotButton="0" quotePrefix="0" xfId="0">
      <alignment horizontal="center" vertical="top"/>
    </xf>
    <xf numFmtId="3" fontId="7" fillId="4" borderId="1" pivotButton="0" quotePrefix="0" xfId="0"/>
    <xf numFmtId="0" fontId="7" fillId="5" borderId="1" applyAlignment="1" pivotButton="0" quotePrefix="0" xfId="0">
      <alignment horizontal="center" vertical="top"/>
    </xf>
    <xf numFmtId="0" fontId="7" fillId="5" borderId="1" applyAlignment="1" pivotButton="0" quotePrefix="0" xfId="0">
      <alignment vertical="top" wrapText="1"/>
    </xf>
    <xf numFmtId="9" fontId="7" fillId="5" borderId="1" applyAlignment="1" pivotButton="0" quotePrefix="0" xfId="0">
      <alignment horizontal="center" vertical="top"/>
    </xf>
    <xf numFmtId="3" fontId="7" fillId="5" borderId="1" pivotButton="0" quotePrefix="0" xfId="0"/>
    <xf numFmtId="0" fontId="0" fillId="6" borderId="0" pivotButton="0" quotePrefix="0" xfId="0"/>
    <xf numFmtId="0" fontId="3" fillId="6" borderId="0" pivotButton="0" quotePrefix="0" xfId="0"/>
    <xf numFmtId="3" fontId="3" fillId="6" borderId="0" pivotButton="0" quotePrefix="0" xfId="0"/>
    <xf numFmtId="3" fontId="0" fillId="6" borderId="0" pivotButton="0" quotePrefix="0" xfId="0"/>
    <xf numFmtId="0" fontId="6" fillId="2" borderId="0" applyAlignment="1" pivotButton="0" quotePrefix="0" xfId="0">
      <alignment horizontal="center" wrapText="1"/>
    </xf>
    <xf numFmtId="0" fontId="0" fillId="7" borderId="1" applyAlignment="1" pivotButton="0" quotePrefix="0" xfId="0">
      <alignment vertical="top" wrapText="1"/>
    </xf>
    <xf numFmtId="0" fontId="8" fillId="7" borderId="1" applyAlignment="1" pivotButton="0" quotePrefix="0" xfId="0">
      <alignment vertical="top" wrapText="1"/>
    </xf>
    <xf numFmtId="3" fontId="0" fillId="7" borderId="1" applyAlignment="1" pivotButton="0" quotePrefix="0" xfId="0">
      <alignment horizontal="center" vertical="top"/>
    </xf>
    <xf numFmtId="0" fontId="0" fillId="0" borderId="1" applyAlignment="1" pivotButton="0" quotePrefix="0" xfId="0">
      <alignment vertical="top" wrapText="1"/>
    </xf>
    <xf numFmtId="0" fontId="8" fillId="0" borderId="1" applyAlignment="1" pivotButton="0" quotePrefix="0" xfId="0">
      <alignment vertical="top" wrapText="1"/>
    </xf>
    <xf numFmtId="3" fontId="0" fillId="0" borderId="1" applyAlignment="1" pivotButton="0" quotePrefix="0" xfId="0">
      <alignment horizontal="center" vertical="top"/>
    </xf>
    <xf numFmtId="0" fontId="0" fillId="7" borderId="1" applyAlignment="1" pivotButton="0" quotePrefix="0" xfId="0">
      <alignment horizontal="center" vertical="top"/>
    </xf>
    <xf numFmtId="164" fontId="0" fillId="7" borderId="1" pivotButton="0" quotePrefix="0" xfId="0"/>
    <xf numFmtId="0" fontId="0" fillId="4" borderId="1" applyAlignment="1" pivotButton="0" quotePrefix="0" xfId="0">
      <alignment horizontal="center" vertical="top"/>
    </xf>
    <xf numFmtId="0" fontId="0" fillId="4" borderId="1" applyAlignment="1" pivotButton="0" quotePrefix="0" xfId="0">
      <alignment vertical="top" wrapText="1"/>
    </xf>
    <xf numFmtId="164" fontId="0" fillId="4" borderId="1" pivotButton="0" quotePrefix="0" xfId="0"/>
    <xf numFmtId="164" fontId="0" fillId="0" borderId="0" pivotButton="0" quotePrefix="0" xfId="0"/>
    <xf numFmtId="164" fontId="3" fillId="0" borderId="0" pivotButton="0" quotePrefix="0" xfId="0"/>
    <xf numFmtId="164" fontId="0" fillId="6" borderId="0" pivotButton="0" quotePrefix="0" xfId="0"/>
    <xf numFmtId="164" fontId="3" fillId="6" borderId="0" pivotButton="0" quotePrefix="0" xfId="0"/>
    <xf numFmtId="0" fontId="0" fillId="6" borderId="0" applyAlignment="1" pivotButton="0" quotePrefix="0" xfId="0">
      <alignment vertical="top" wrapText="1"/>
    </xf>
    <xf numFmtId="0" fontId="5" fillId="5" borderId="1" applyAlignment="1" pivotButton="0" quotePrefix="0" xfId="0">
      <alignment horizontal="center" vertical="top"/>
    </xf>
    <xf numFmtId="0" fontId="0" fillId="5" borderId="1" applyAlignment="1" pivotButton="0" quotePrefix="0" xfId="0">
      <alignment vertical="top" wrapText="1"/>
    </xf>
    <xf numFmtId="0" fontId="0" fillId="5" borderId="1" applyAlignment="1" pivotButton="0" quotePrefix="0" xfId="0">
      <alignment horizontal="center" vertical="top"/>
    </xf>
    <xf numFmtId="164" fontId="0" fillId="5" borderId="1" applyAlignment="1" pivotButton="0" quotePrefix="0" xfId="0">
      <alignment horizontal="center" vertical="top"/>
    </xf>
    <xf numFmtId="0" fontId="0" fillId="8" borderId="1" pivotButton="0" quotePrefix="0" xfId="0"/>
    <xf numFmtId="0" fontId="5" fillId="0" borderId="1" applyAlignment="1" pivotButton="0" quotePrefix="0" xfId="0">
      <alignment horizontal="center" vertical="top"/>
    </xf>
    <xf numFmtId="0" fontId="0" fillId="0" borderId="1" applyAlignment="1" pivotButton="0" quotePrefix="0" xfId="0">
      <alignment horizontal="center" vertical="top"/>
    </xf>
    <xf numFmtId="164" fontId="0" fillId="0" borderId="1" applyAlignment="1" pivotButton="0" quotePrefix="0" xfId="0">
      <alignment horizontal="center" vertical="top"/>
    </xf>
    <xf numFmtId="3" fontId="0" fillId="0" borderId="1" pivotButton="0" quotePrefix="0" xfId="0"/>
    <xf numFmtId="0" fontId="6" fillId="2" borderId="0" applyAlignment="1" pivotButton="0" quotePrefix="0" xfId="0">
      <alignment horizontal="center" vertical="top"/>
    </xf>
    <xf numFmtId="0" fontId="0" fillId="0" borderId="1" pivotButton="0" quotePrefix="0" xfId="0"/>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agamrobotics.com/agamautopilotv6x-rt" TargetMode="External" Id="rId1"/><Relationship Type="http://schemas.openxmlformats.org/officeDocument/2006/relationships/hyperlink" Target="https://www.indiamart.com/proddetail/pixhawk-6c-mini-flight-controller-2852778303248.html" TargetMode="External" Id="rId2"/><Relationship Type="http://schemas.openxmlformats.org/officeDocument/2006/relationships/hyperlink" Target="https://www.iotechworld.co.in/150kv-bharath-drone-bldc-motor.htm" TargetMode="External" Id="rId3"/><Relationship Type="http://schemas.openxmlformats.org/officeDocument/2006/relationships/hyperlink" Target="https://www.uavmarketplace.in/products/t-motors-mn5008-kv170/895789000017087249" TargetMode="External" Id="rId4"/><Relationship Type="http://schemas.openxmlformats.org/officeDocument/2006/relationships/hyperlink" Target="https://robu.in/product/rd-mi-5008-6s-kv340-uav-brushless-motor/" TargetMode="External" Id="rId5"/><Relationship Type="http://schemas.openxmlformats.org/officeDocument/2006/relationships/hyperlink" Target="https://www.sraeros.com/drone-propeller.html" TargetMode="External" Id="rId6"/><Relationship Type="http://schemas.openxmlformats.org/officeDocument/2006/relationships/hyperlink" Target="https://dronecompany.in/product/tarot-t-series-1855-carbon-fiber-cw-ccw-propeller-prop-tl2848/" TargetMode="External" Id="rId7"/><Relationship Type="http://schemas.openxmlformats.org/officeDocument/2006/relationships/hyperlink" Target="https://evreporter.com/godi-receives-bis-certification-to-sell-li-ion-cells-in-india/" TargetMode="External" Id="rId8"/><Relationship Type="http://schemas.openxmlformats.org/officeDocument/2006/relationships/hyperlink" Target="https://www.indiamart.com/proddetail/molicel-inr-21700-p45b-high-current-lithium-ion-cell-for-drones-and-evs-2853200798230.html" TargetMode="External" Id="rId9"/><Relationship Type="http://schemas.openxmlformats.org/officeDocument/2006/relationships/hyperlink" Target="https://robokits.co.in/batteries-chargers/li-ion-cells/3.7v-21700-li-ion-cell/molicel-4500mah-10c-lithium-ion-battery-inr21700-p45b" TargetMode="External" Id="rId10"/><Relationship Type="http://schemas.openxmlformats.org/officeDocument/2006/relationships/hyperlink" Target="https://www.fabtolab.com/seeed-nvidia-jetson-orin-nano-super-developer-kit" TargetMode="External" Id="rId11"/><Relationship Type="http://schemas.openxmlformats.org/officeDocument/2006/relationships/hyperlink" Target="https://robu.in/product/raspberry-pi-ai-hat-26-tops/" TargetMode="External" Id="rId12"/><Relationship Type="http://schemas.openxmlformats.org/officeDocument/2006/relationships/hyperlink" Target="https://robu.in/product/raspberry-pi-5-model-8gb/" TargetMode="External" Id="rId13"/><Relationship Type="http://schemas.openxmlformats.org/officeDocument/2006/relationships/hyperlink" Target="https://www.e-consystems.com/nvidia-cameras/jetson-orin-nx-cameras/12mp-sony-starvis-imx412-ultra-low-light-camera.asp" TargetMode="External" Id="rId14"/><Relationship Type="http://schemas.openxmlformats.org/officeDocument/2006/relationships/hyperlink" Target="https://robu.in/product/arducam-12mp-imx477-motorized-focus-high-quality-camera-for-raspberry-pi/" TargetMode="External" Id="rId15"/><Relationship Type="http://schemas.openxmlformats.org/officeDocument/2006/relationships/hyperlink" Target="https://www.teravolt.in/product-page/aeronav-1-dual-band-gnss" TargetMode="External" Id="rId16"/><Relationship Type="http://schemas.openxmlformats.org/officeDocument/2006/relationships/hyperlink" Target="https://www.xboom.in/shop/drones/drone-components/transmission/rfd-868ux-ind-long-range-modem-bundle/" TargetMode="External" Id="rId17"/><Relationship Type="http://schemas.openxmlformats.org/officeDocument/2006/relationships/hyperlink" Target="https://robokits.co.in/multirotor-spare-parts/fpv-video-telemetry-camera/rfd868x-32-bit-arm-ultra-long-range-telemetry-modem-original" TargetMode="External" Id="rId18"/><Relationship Type="http://schemas.openxmlformats.org/officeDocument/2006/relationships/hyperlink" Target="https://zerodrag.in/products/express-lrs-receiver" TargetMode="External" Id="rId19"/><Relationship Type="http://schemas.openxmlformats.org/officeDocument/2006/relationships/hyperlink" Target="https://vegaprocessors.in/" TargetMode="External" Id="rId20"/></Relationships>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04" customWidth="1" min="1" max="1"/>
  </cols>
  <sheetData>
    <row r="1">
      <c r="A1" s="1" t="inlineStr">
        <is>
          <t>RescueSwarm — Air Vehicle Cost Study</t>
        </is>
      </c>
    </row>
    <row r="2">
      <c r="A2" s="2" t="inlineStr">
        <is>
          <t>Revision B  ·  2026-08-11  ·  NIDAR 2026–27, Track 1, Mission 1</t>
        </is>
      </c>
    </row>
    <row r="4">
      <c r="A4" s="3" t="inlineStr">
        <is>
          <t>PURPOSE</t>
        </is>
      </c>
    </row>
    <row r="5">
      <c r="A5" t="inlineStr">
        <is>
          <t>To test whether the per-aircraft cost of ₹2,64,400 can be materially reduced, and specifically</t>
        </is>
      </c>
    </row>
    <row r="6">
      <c r="A6" t="inlineStr">
        <is>
          <t>whether a target near ₹40,000 is reachable. Every alternative considered is identified by</t>
        </is>
      </c>
    </row>
    <row r="7">
      <c r="A7" t="inlineStr">
        <is>
          <t>manufacturer part number, supplier and source URL on tab 02, with the date its price was read.</t>
        </is>
      </c>
    </row>
    <row r="9">
      <c r="A9" s="3" t="inlineStr">
        <is>
          <t>STATUS: FOR REVIEW AND DECISION. Not a purchase order, and not the build standard.</t>
        </is>
      </c>
    </row>
    <row r="10">
      <c r="A10" t="inlineStr">
        <is>
          <t>The build standard remains RescueSwarm_BOM_India.xlsx, which the cost model reads and CI reproduces.</t>
        </is>
      </c>
    </row>
    <row r="12">
      <c r="A12" s="3" t="inlineStr">
        <is>
          <t>PRINCIPAL FINDINGS</t>
        </is>
      </c>
    </row>
    <row r="13">
      <c r="A13" t="inlineStr">
        <is>
          <t>1.  ₹40,000 is not reachable. Propulsion and power alone are ₹73,050 in the current BOM — 1.8×</t>
        </is>
      </c>
    </row>
    <row r="14">
      <c r="A14" t="inlineStr">
        <is>
          <t xml:space="preserve">    that target — before any frame, avionics, camera, radio, parachute or release mechanism.</t>
        </is>
      </c>
    </row>
    <row r="15">
      <c r="A15" t="inlineStr">
        <is>
          <t xml:space="preserve">    Both groups are sized by the mission, not by supplier choice. Tab 06 specifies what ₹40,000</t>
        </is>
      </c>
    </row>
    <row r="16">
      <c r="A16" t="inlineStr">
        <is>
          <t xml:space="preserve">    does buy, and the eight requirements that aircraft fails.</t>
        </is>
      </c>
    </row>
    <row r="18">
      <c r="A18" t="inlineStr">
        <is>
          <t>2.  The current BOM is competitively priced. Repricing it against live Indian listings found it</t>
        </is>
      </c>
    </row>
    <row r="19">
      <c r="A19" t="inlineStr">
        <is>
          <t xml:space="preserve">    AT OR BELOW market on the largest line items. The motor is the clearest case: the BOM carries</t>
        </is>
      </c>
    </row>
    <row r="20">
      <c r="A20" t="inlineStr">
        <is>
          <t xml:space="preserve">    ₹7,000, while the nearest listed equivalents are ₹9,099 (Indian) and ₹9,499 (T-Motor).</t>
        </is>
      </c>
    </row>
    <row r="22">
      <c r="A22" s="4" t="inlineStr">
        <is>
          <t>3.  Two lines are underpriced, and one of them badly.</t>
        </is>
      </c>
    </row>
    <row r="23">
      <c r="A23" t="inlineStr">
        <is>
          <t xml:space="preserve">    The sub-GHz safety radio carries ₹7,500. The India-compliant part for the 865–870 MHz band</t>
        </is>
      </c>
    </row>
    <row r="24">
      <c r="A24" t="inlineStr">
        <is>
          <t xml:space="preserve">    is the RFD 868ux-IND; RFD868x bundles list at ₹38,709 for an air-and-ground pair, implying</t>
        </is>
      </c>
    </row>
    <row r="25">
      <c r="A25" t="inlineStr">
        <is>
          <t xml:space="preserve">    roughly ₹19,355 for the airborne unit alone. Exposure on this line is about +₹11,855.</t>
        </is>
      </c>
    </row>
    <row r="27">
      <c r="A27" s="5" t="inlineStr">
        <is>
          <t>4.  The net effect is close to nothing.</t>
        </is>
      </c>
    </row>
    <row r="28">
      <c r="A28" t="inlineStr">
        <is>
          <t xml:space="preserve">    Verified savings total ₹29,922 per aircraft. Verified under-pricing totals ₹20,251.</t>
        </is>
      </c>
    </row>
    <row r="29">
      <c r="A29" t="inlineStr">
        <is>
          <t xml:space="preserve">    Net movement is ₹9,671 per aircraft — against a current cost of ₹2,64,400.</t>
        </is>
      </c>
    </row>
    <row r="30">
      <c r="A30" t="inlineStr">
        <is>
          <t xml:space="preserve">    A cost-reduction exercise on this BOM does not produce a cheaper aircraft. It produces a</t>
        </is>
      </c>
    </row>
    <row r="31">
      <c r="A31" t="inlineStr">
        <is>
          <t xml:space="preserve">    more accurate estimate of the same aircraft, which is a more useful result than it sounds.</t>
        </is>
      </c>
    </row>
    <row r="33">
      <c r="A33" s="3" t="inlineStr">
        <is>
          <t>PRICE PROVENANCE</t>
        </is>
      </c>
    </row>
    <row r="34">
      <c r="A34" t="inlineStr">
        <is>
          <t xml:space="preserve">   LISTED    a dated Indian retail listing, with the URL on tab 02.</t>
        </is>
      </c>
    </row>
    <row r="35">
      <c r="A35" t="inlineStr">
        <is>
          <t xml:space="preserve">   EST       an estimate. Directional only.</t>
        </is>
      </c>
    </row>
    <row r="36">
      <c r="A36" t="inlineStr">
        <is>
          <t xml:space="preserve">   QUOTE     no public price exists for this part; a supplier quote is required.</t>
        </is>
      </c>
    </row>
    <row r="38">
      <c r="A38" t="inlineStr">
        <is>
          <t>Four lines in the CURRENT BOM have no public price at all — the flight controller, the motor,</t>
        </is>
      </c>
    </row>
    <row r="39">
      <c r="A39" t="inlineStr">
        <is>
          <t>the cells and the camera. Those are quote-required, not estimates, and they are four of the six</t>
        </is>
      </c>
    </row>
    <row r="40">
      <c r="A40" t="inlineStr">
        <is>
          <t>largest lines in the aircraft. Until they are quoted, the ₹2,64,400 itself carries real uncertainty.</t>
        </is>
      </c>
    </row>
    <row r="42">
      <c r="A42" s="3" t="inlineStr">
        <is>
          <t>MASS AND FLIGHT PERFORMANCE — NOT REVALIDATED</t>
        </is>
      </c>
    </row>
    <row r="43">
      <c r="A43" t="inlineStr">
        <is>
          <t>Masses are the current parts'. Substitutes differ. MTOW, endurance, thrust-to-weight and the</t>
        </is>
      </c>
    </row>
    <row r="44">
      <c r="A44" t="inlineStr">
        <is>
          <t>25 kg fleet margin are NOT validated for any substitution here. See decision D6.</t>
        </is>
      </c>
    </row>
    <row r="46">
      <c r="A46" s="3" t="inlineStr">
        <is>
          <t>PREPARED BY / REVIEWED BY</t>
        </is>
      </c>
    </row>
    <row r="47">
      <c r="A47" t="inlineStr">
        <is>
          <t>Prepared:  ______________________          Date: ____________</t>
        </is>
      </c>
    </row>
    <row r="48">
      <c r="A48" t="inlineStr">
        <is>
          <t>Reviewed:  ______________________          Date: ____________</t>
        </is>
      </c>
    </row>
    <row r="49">
      <c r="A49" t="inlineStr">
        <is>
          <t>Decision:   ☐ adopt substitutions    ☐ adopt with exceptions    ☐ reject, reprice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0" customWidth="1" min="3" max="3"/>
    <col width="30" customWidth="1" min="4" max="4"/>
    <col width="6" customWidth="1" min="5" max="5"/>
    <col width="5" customWidth="1" min="6" max="6"/>
    <col width="7" customWidth="1" min="7" max="7"/>
    <col width="8" customWidth="1" min="8" max="8"/>
    <col width="9" customWidth="1" min="9" max="9"/>
    <col width="10" customWidth="1" min="10" max="10"/>
    <col width="8" customWidth="1" min="11" max="11"/>
    <col width="30" customWidth="1" min="12" max="12"/>
    <col width="8" customWidth="1" min="13" max="13"/>
    <col width="74" customWidth="1" min="14" max="14"/>
  </cols>
  <sheetData>
    <row r="1">
      <c r="A1" s="1" t="inlineStr">
        <is>
          <t>01 — AIR VEHICLE BOM (current configuration, repriced)</t>
        </is>
      </c>
    </row>
    <row r="2">
      <c r="A2" s="6" t="inlineStr">
        <is>
          <t>Rev B · 2026-08-11 · Quantities and design unchanged. 'Market reference' is the nearest listed equivalent found, for exposure — see tab 02 for part numbers and URLs.</t>
        </is>
      </c>
    </row>
    <row r="3">
      <c r="A3" s="7" t="inlineStr">
        <is>
          <t>#</t>
        </is>
      </c>
      <c r="B3" s="7" t="inlineStr">
        <is>
          <t>Component</t>
        </is>
      </c>
      <c r="C3" s="7" t="inlineStr">
        <is>
          <t>Manufacturer / model</t>
        </is>
      </c>
      <c r="D3" s="7" t="inlineStr">
        <is>
          <t>Supplier</t>
        </is>
      </c>
      <c r="E3" s="7" t="inlineStr">
        <is>
          <t>Indig.
%</t>
        </is>
      </c>
      <c r="F3" s="7" t="inlineStr">
        <is>
          <t>Qty</t>
        </is>
      </c>
      <c r="G3" s="7" t="inlineStr">
        <is>
          <t>Unit
mass g</t>
        </is>
      </c>
      <c r="H3" s="7" t="inlineStr">
        <is>
          <t>Total
mass g</t>
        </is>
      </c>
      <c r="I3" s="7" t="inlineStr">
        <is>
          <t>Unit ₹</t>
        </is>
      </c>
      <c r="J3" s="7" t="inlineStr">
        <is>
          <t>Ext ₹</t>
        </is>
      </c>
      <c r="K3" s="7" t="inlineStr">
        <is>
          <t>Price
basis</t>
        </is>
      </c>
      <c r="L3" s="7" t="inlineStr">
        <is>
          <t>Market reference</t>
        </is>
      </c>
      <c r="M3" s="7" t="inlineStr">
        <is>
          <t>Lead
time</t>
        </is>
      </c>
      <c r="N3" s="7" t="inlineStr">
        <is>
          <t>Recommendation / note</t>
        </is>
      </c>
    </row>
    <row r="4" ht="30" customHeight="1">
      <c r="A4" s="8" t="inlineStr">
        <is>
          <t>STRUCTURE</t>
        </is>
      </c>
      <c r="B4" s="9" t="n"/>
      <c r="C4" s="9" t="n"/>
      <c r="D4" s="9" t="n"/>
      <c r="E4" s="9" t="n"/>
      <c r="F4" s="9" t="n"/>
      <c r="G4" s="9" t="n"/>
      <c r="H4" s="10" t="n"/>
      <c r="I4" s="10" t="n"/>
      <c r="J4" s="10" t="n"/>
      <c r="K4" s="9" t="n"/>
      <c r="L4" s="9" t="n"/>
      <c r="M4" s="9" t="n"/>
      <c r="N4" s="9" t="n"/>
    </row>
    <row r="5" ht="30" customHeight="1">
      <c r="A5" s="11" t="n">
        <v>1</v>
      </c>
      <c r="B5" s="12" t="inlineStr">
        <is>
          <t>Arm tube</t>
        </is>
      </c>
      <c r="C5" s="12" t="inlineStr">
        <is>
          <t>—</t>
        </is>
      </c>
      <c r="D5" s="12" t="inlineStr">
        <is>
          <t>Kineco Kaman Composites (Goa) / Composite Te</t>
        </is>
      </c>
      <c r="E5" s="13" t="n">
        <v>0.7</v>
      </c>
      <c r="F5" s="11" t="n">
        <v>4</v>
      </c>
      <c r="G5" s="11" t="n">
        <v>95</v>
      </c>
      <c r="H5" s="14">
        <f>F5*G5</f>
        <v/>
      </c>
      <c r="I5" s="14" t="n">
        <v>1100</v>
      </c>
      <c r="J5" s="14">
        <f>F5*I5</f>
        <v/>
      </c>
      <c r="K5" s="11" t="inlineStr">
        <is>
          <t>BOM</t>
        </is>
      </c>
      <c r="L5" s="12" t="inlineStr">
        <is>
          <t>—</t>
        </is>
      </c>
      <c r="M5" s="11" t="inlineStr">
        <is>
          <t>2 wk</t>
        </is>
      </c>
      <c r="N5" s="12" t="inlineStr"/>
    </row>
    <row r="6" ht="30" customHeight="1">
      <c r="A6" s="11" t="n">
        <v>2</v>
      </c>
      <c r="B6" s="12" t="inlineStr">
        <is>
          <t>Centre plate</t>
        </is>
      </c>
      <c r="C6" s="12" t="inlineStr">
        <is>
          <t>—</t>
        </is>
      </c>
      <c r="D6" s="12" t="inlineStr">
        <is>
          <t>Composite Technology Park, Bengaluru / local</t>
        </is>
      </c>
      <c r="E6" s="13" t="n">
        <v>0.7</v>
      </c>
      <c r="F6" s="11" t="n">
        <v>2</v>
      </c>
      <c r="G6" s="11" t="n">
        <v>155</v>
      </c>
      <c r="H6" s="14">
        <f>F6*G6</f>
        <v/>
      </c>
      <c r="I6" s="14" t="n">
        <v>3000</v>
      </c>
      <c r="J6" s="14">
        <f>F6*I6</f>
        <v/>
      </c>
      <c r="K6" s="11" t="inlineStr">
        <is>
          <t>BOM</t>
        </is>
      </c>
      <c r="L6" s="12" t="inlineStr">
        <is>
          <t>—</t>
        </is>
      </c>
      <c r="M6" s="11" t="inlineStr">
        <is>
          <t>3 wk</t>
        </is>
      </c>
      <c r="N6" s="12" t="inlineStr"/>
    </row>
    <row r="7" ht="30" customHeight="1">
      <c r="A7" s="11" t="n">
        <v>3</v>
      </c>
      <c r="B7" s="12" t="inlineStr">
        <is>
          <t>Arm clamp set</t>
        </is>
      </c>
      <c r="C7" s="12" t="inlineStr">
        <is>
          <t>—</t>
        </is>
      </c>
      <c r="D7" s="12" t="inlineStr">
        <is>
          <t>Local precision machine shop (Pune / Coimbat</t>
        </is>
      </c>
      <c r="E7" s="13" t="n">
        <v>1</v>
      </c>
      <c r="F7" s="11" t="n">
        <v>4</v>
      </c>
      <c r="G7" s="11" t="n">
        <v>45</v>
      </c>
      <c r="H7" s="14">
        <f>F7*G7</f>
        <v/>
      </c>
      <c r="I7" s="14" t="n">
        <v>750</v>
      </c>
      <c r="J7" s="14">
        <f>F7*I7</f>
        <v/>
      </c>
      <c r="K7" s="11" t="inlineStr">
        <is>
          <t>BOM</t>
        </is>
      </c>
      <c r="L7" s="12" t="inlineStr">
        <is>
          <t>—</t>
        </is>
      </c>
      <c r="M7" s="11" t="inlineStr">
        <is>
          <t>3 wk</t>
        </is>
      </c>
      <c r="N7" s="12" t="inlineStr"/>
    </row>
    <row r="8" ht="30" customHeight="1">
      <c r="A8" s="11" t="n">
        <v>4</v>
      </c>
      <c r="B8" s="12" t="inlineStr">
        <is>
          <t>Motor mount plate</t>
        </is>
      </c>
      <c r="C8" s="12" t="inlineStr">
        <is>
          <t>—</t>
        </is>
      </c>
      <c r="D8" s="12" t="inlineStr">
        <is>
          <t>Local CNC / Composite Technology Park</t>
        </is>
      </c>
      <c r="E8" s="13" t="n">
        <v>0.7</v>
      </c>
      <c r="F8" s="11" t="n">
        <v>4</v>
      </c>
      <c r="G8" s="11" t="n">
        <v>22</v>
      </c>
      <c r="H8" s="14">
        <f>F8*G8</f>
        <v/>
      </c>
      <c r="I8" s="14" t="n">
        <v>400</v>
      </c>
      <c r="J8" s="14">
        <f>F8*I8</f>
        <v/>
      </c>
      <c r="K8" s="11" t="inlineStr">
        <is>
          <t>BOM</t>
        </is>
      </c>
      <c r="L8" s="12" t="inlineStr">
        <is>
          <t>—</t>
        </is>
      </c>
      <c r="M8" s="11" t="inlineStr">
        <is>
          <t>3 wk</t>
        </is>
      </c>
      <c r="N8" s="12" t="inlineStr"/>
    </row>
    <row r="9" ht="30" customHeight="1">
      <c r="A9" s="11" t="n">
        <v>5</v>
      </c>
      <c r="B9" s="12" t="inlineStr">
        <is>
          <t>Landing gear leg</t>
        </is>
      </c>
      <c r="C9" s="12" t="inlineStr">
        <is>
          <t>—</t>
        </is>
      </c>
      <c r="D9" s="12" t="inlineStr">
        <is>
          <t>Kineco / local composites</t>
        </is>
      </c>
      <c r="E9" s="13" t="n">
        <v>0.7</v>
      </c>
      <c r="F9" s="11" t="n">
        <v>4</v>
      </c>
      <c r="G9" s="11" t="n">
        <v>55</v>
      </c>
      <c r="H9" s="14">
        <f>F9*G9</f>
        <v/>
      </c>
      <c r="I9" s="14" t="n">
        <v>600</v>
      </c>
      <c r="J9" s="14">
        <f>F9*I9</f>
        <v/>
      </c>
      <c r="K9" s="11" t="inlineStr">
        <is>
          <t>BOM</t>
        </is>
      </c>
      <c r="L9" s="12" t="inlineStr">
        <is>
          <t>—</t>
        </is>
      </c>
      <c r="M9" s="11" t="inlineStr">
        <is>
          <t>2 wk</t>
        </is>
      </c>
      <c r="N9" s="12" t="inlineStr"/>
    </row>
    <row r="10" ht="30" customHeight="1">
      <c r="A10" s="11" t="n">
        <v>6</v>
      </c>
      <c r="B10" s="12" t="inlineStr">
        <is>
          <t>Landing foot</t>
        </is>
      </c>
      <c r="C10" s="12" t="inlineStr">
        <is>
          <t>—</t>
        </is>
      </c>
      <c r="D10" s="12" t="inlineStr">
        <is>
          <t>In-house on an Indian FDM printer</t>
        </is>
      </c>
      <c r="E10" s="13" t="n">
        <v>1</v>
      </c>
      <c r="F10" s="11" t="n">
        <v>4</v>
      </c>
      <c r="G10" s="11" t="n">
        <v>12</v>
      </c>
      <c r="H10" s="14">
        <f>F10*G10</f>
        <v/>
      </c>
      <c r="I10" s="14" t="n">
        <v>100</v>
      </c>
      <c r="J10" s="14">
        <f>F10*I10</f>
        <v/>
      </c>
      <c r="K10" s="11" t="inlineStr">
        <is>
          <t>BOM</t>
        </is>
      </c>
      <c r="L10" s="12" t="inlineStr">
        <is>
          <t>—</t>
        </is>
      </c>
      <c r="M10" s="11" t="inlineStr">
        <is>
          <t>—</t>
        </is>
      </c>
      <c r="N10" s="12" t="inlineStr"/>
    </row>
    <row r="11" ht="30" customHeight="1">
      <c r="A11" s="11" t="n">
        <v>7</v>
      </c>
      <c r="B11" s="12" t="inlineStr">
        <is>
          <t>Battery tray + strap</t>
        </is>
      </c>
      <c r="C11" s="12" t="inlineStr">
        <is>
          <t>—</t>
        </is>
      </c>
      <c r="D11" s="12" t="inlineStr">
        <is>
          <t>In-house + local hardware</t>
        </is>
      </c>
      <c r="E11" s="13" t="n">
        <v>1</v>
      </c>
      <c r="F11" s="11" t="n">
        <v>1</v>
      </c>
      <c r="G11" s="11" t="n">
        <v>85</v>
      </c>
      <c r="H11" s="14">
        <f>F11*G11</f>
        <v/>
      </c>
      <c r="I11" s="14" t="n">
        <v>600</v>
      </c>
      <c r="J11" s="14">
        <f>F11*I11</f>
        <v/>
      </c>
      <c r="K11" s="11" t="inlineStr">
        <is>
          <t>BOM</t>
        </is>
      </c>
      <c r="L11" s="12" t="inlineStr">
        <is>
          <t>—</t>
        </is>
      </c>
      <c r="M11" s="11" t="inlineStr">
        <is>
          <t>1 wk</t>
        </is>
      </c>
      <c r="N11" s="12" t="inlineStr"/>
    </row>
    <row r="12" ht="30" customHeight="1">
      <c r="A12" s="11" t="n">
        <v>8</v>
      </c>
      <c r="B12" s="12" t="inlineStr">
        <is>
          <t>FC vibration mount</t>
        </is>
      </c>
      <c r="C12" s="12" t="inlineStr">
        <is>
          <t>—</t>
        </is>
      </c>
      <c r="D12" s="12" t="inlineStr">
        <is>
          <t>Indian rubber/silicone moulder + in-house pl</t>
        </is>
      </c>
      <c r="E12" s="13" t="n">
        <v>1</v>
      </c>
      <c r="F12" s="11" t="n">
        <v>1</v>
      </c>
      <c r="G12" s="11" t="n">
        <v>18</v>
      </c>
      <c r="H12" s="14">
        <f>F12*G12</f>
        <v/>
      </c>
      <c r="I12" s="14" t="n">
        <v>350</v>
      </c>
      <c r="J12" s="14">
        <f>F12*I12</f>
        <v/>
      </c>
      <c r="K12" s="11" t="inlineStr">
        <is>
          <t>BOM</t>
        </is>
      </c>
      <c r="L12" s="12" t="inlineStr">
        <is>
          <t>—</t>
        </is>
      </c>
      <c r="M12" s="11" t="inlineStr">
        <is>
          <t>1 wk</t>
        </is>
      </c>
      <c r="N12" s="12" t="inlineStr"/>
    </row>
    <row r="13" ht="30" customHeight="1">
      <c r="A13" s="11" t="n">
        <v>9</v>
      </c>
      <c r="B13" s="12" t="inlineStr">
        <is>
          <t>Electronics canopy</t>
        </is>
      </c>
      <c r="C13" s="12" t="inlineStr">
        <is>
          <t>—</t>
        </is>
      </c>
      <c r="D13" s="12" t="inlineStr">
        <is>
          <t>In-house (Fracktal Works / Divide By Zero pr</t>
        </is>
      </c>
      <c r="E13" s="13" t="n">
        <v>1</v>
      </c>
      <c r="F13" s="11" t="n">
        <v>1</v>
      </c>
      <c r="G13" s="11" t="n">
        <v>140</v>
      </c>
      <c r="H13" s="14">
        <f>F13*G13</f>
        <v/>
      </c>
      <c r="I13" s="14" t="n">
        <v>500</v>
      </c>
      <c r="J13" s="14">
        <f>F13*I13</f>
        <v/>
      </c>
      <c r="K13" s="11" t="inlineStr">
        <is>
          <t>BOM</t>
        </is>
      </c>
      <c r="L13" s="12" t="inlineStr">
        <is>
          <t>—</t>
        </is>
      </c>
      <c r="M13" s="11" t="inlineStr">
        <is>
          <t>1 wk</t>
        </is>
      </c>
      <c r="N13" s="12" t="inlineStr"/>
    </row>
    <row r="14" ht="30" customHeight="1">
      <c r="A14" s="11" t="n">
        <v>10</v>
      </c>
      <c r="B14" s="12" t="inlineStr">
        <is>
          <t>Compute cooling blower</t>
        </is>
      </c>
      <c r="C14" s="12" t="inlineStr">
        <is>
          <t>—</t>
        </is>
      </c>
      <c r="D14" s="12" t="inlineStr">
        <is>
          <t>Indian fan supplier + in-house duct</t>
        </is>
      </c>
      <c r="E14" s="13" t="n">
        <v>0.6</v>
      </c>
      <c r="F14" s="11" t="n">
        <v>1</v>
      </c>
      <c r="G14" s="11" t="n">
        <v>32</v>
      </c>
      <c r="H14" s="14">
        <f>F14*G14</f>
        <v/>
      </c>
      <c r="I14" s="14" t="n">
        <v>400</v>
      </c>
      <c r="J14" s="14">
        <f>F14*I14</f>
        <v/>
      </c>
      <c r="K14" s="11" t="inlineStr">
        <is>
          <t>BOM</t>
        </is>
      </c>
      <c r="L14" s="12" t="inlineStr">
        <is>
          <t>—</t>
        </is>
      </c>
      <c r="M14" s="11" t="inlineStr">
        <is>
          <t>1 wk</t>
        </is>
      </c>
      <c r="N14" s="12" t="inlineStr"/>
    </row>
    <row r="15" ht="30" customHeight="1">
      <c r="A15" s="11" t="n">
        <v>11</v>
      </c>
      <c r="B15" s="12" t="inlineStr">
        <is>
          <t>Fastener kit</t>
        </is>
      </c>
      <c r="C15" s="12" t="inlineStr">
        <is>
          <t>—</t>
        </is>
      </c>
      <c r="D15" s="12" t="inlineStr">
        <is>
          <t>Sundram Fasteners (Chennai) / Unbrako India</t>
        </is>
      </c>
      <c r="E15" s="13" t="n">
        <v>1</v>
      </c>
      <c r="F15" s="11" t="n">
        <v>1</v>
      </c>
      <c r="G15" s="11" t="n">
        <v>110</v>
      </c>
      <c r="H15" s="14">
        <f>F15*G15</f>
        <v/>
      </c>
      <c r="I15" s="14" t="n">
        <v>800</v>
      </c>
      <c r="J15" s="14">
        <f>F15*I15</f>
        <v/>
      </c>
      <c r="K15" s="11" t="inlineStr">
        <is>
          <t>BOM</t>
        </is>
      </c>
      <c r="L15" s="12" t="inlineStr">
        <is>
          <t>—</t>
        </is>
      </c>
      <c r="M15" s="11" t="inlineStr">
        <is>
          <t>1 wk</t>
        </is>
      </c>
      <c r="N15" s="12" t="inlineStr"/>
    </row>
    <row r="16" ht="30" customHeight="1">
      <c r="A16" s="11" t="n">
        <v>12</v>
      </c>
      <c r="B16" s="12" t="inlineStr">
        <is>
          <t>Standoffs, spacers, grommets</t>
        </is>
      </c>
      <c r="C16" s="12" t="inlineStr">
        <is>
          <t>—</t>
        </is>
      </c>
      <c r="D16" s="12" t="inlineStr">
        <is>
          <t>Local hardware</t>
        </is>
      </c>
      <c r="E16" s="13" t="n">
        <v>1</v>
      </c>
      <c r="F16" s="11" t="n">
        <v>1</v>
      </c>
      <c r="G16" s="11" t="n">
        <v>95</v>
      </c>
      <c r="H16" s="14">
        <f>F16*G16</f>
        <v/>
      </c>
      <c r="I16" s="14" t="n">
        <v>600</v>
      </c>
      <c r="J16" s="14">
        <f>F16*I16</f>
        <v/>
      </c>
      <c r="K16" s="11" t="inlineStr">
        <is>
          <t>BOM</t>
        </is>
      </c>
      <c r="L16" s="12" t="inlineStr">
        <is>
          <t>—</t>
        </is>
      </c>
      <c r="M16" s="11" t="inlineStr">
        <is>
          <t>1 wk</t>
        </is>
      </c>
      <c r="N16" s="12" t="inlineStr"/>
    </row>
    <row r="17" ht="30" customHeight="1">
      <c r="A17" s="8" t="inlineStr">
        <is>
          <t>PROPULSION</t>
        </is>
      </c>
      <c r="B17" s="9" t="n"/>
      <c r="C17" s="9" t="n"/>
      <c r="D17" s="9" t="n"/>
      <c r="E17" s="9" t="n"/>
      <c r="F17" s="9" t="n"/>
      <c r="G17" s="9" t="n"/>
      <c r="H17" s="10" t="n"/>
      <c r="I17" s="10" t="n"/>
      <c r="J17" s="10" t="n"/>
      <c r="K17" s="9" t="n"/>
      <c r="L17" s="9" t="n"/>
      <c r="M17" s="9" t="n"/>
      <c r="N17" s="9" t="n"/>
    </row>
    <row r="18" ht="30" customHeight="1">
      <c r="A18" s="15" t="n">
        <v>13</v>
      </c>
      <c r="B18" s="16" t="inlineStr">
        <is>
          <t>Motor</t>
        </is>
      </c>
      <c r="C18" s="16" t="inlineStr">
        <is>
          <t>Bharath 150KV BLDC</t>
        </is>
      </c>
      <c r="D18" s="16" t="inlineStr">
        <is>
          <t>Bharath Components (Gurugram, IoTechWorld) /</t>
        </is>
      </c>
      <c r="E18" s="17" t="n">
        <v>0.9</v>
      </c>
      <c r="F18" s="15" t="n">
        <v>4</v>
      </c>
      <c r="G18" s="15" t="n">
        <v>150</v>
      </c>
      <c r="H18" s="18">
        <f>F18*G18</f>
        <v/>
      </c>
      <c r="I18" s="18" t="n">
        <v>7000</v>
      </c>
      <c r="J18" s="18">
        <f>F18*I18</f>
        <v/>
      </c>
      <c r="K18" s="15" t="inlineStr">
        <is>
          <t>QUOTE</t>
        </is>
      </c>
      <c r="L18" s="16" t="inlineStr">
        <is>
          <t>RD MI-5008 ₹9,099 / MN5008 ₹9,499</t>
        </is>
      </c>
      <c r="M18" s="15" t="inlineStr">
        <is>
          <t>3-4 wk</t>
        </is>
      </c>
      <c r="N18" s="16" t="inlineStr">
        <is>
          <t>BOM IS CHEAPER THAN MARKET. ₹7,000 is unpublished; listed equivalents are ₹9,099–9,499. Exposure +₹8,396 for four. Get the quote.</t>
        </is>
      </c>
    </row>
    <row r="19" ht="30" customHeight="1">
      <c r="A19" s="19" t="n">
        <v>14</v>
      </c>
      <c r="B19" s="20" t="inlineStr">
        <is>
          <t>ESC</t>
        </is>
      </c>
      <c r="C19" s="20" t="inlineStr">
        <is>
          <t>Flameback ESC</t>
        </is>
      </c>
      <c r="D19" s="20" t="inlineStr">
        <is>
          <t>Flameback Tech (India)</t>
        </is>
      </c>
      <c r="E19" s="21" t="n">
        <v>0.8</v>
      </c>
      <c r="F19" s="19" t="n">
        <v>4</v>
      </c>
      <c r="G19" s="19" t="n">
        <v>48</v>
      </c>
      <c r="H19" s="22">
        <f>F19*G19</f>
        <v/>
      </c>
      <c r="I19" s="22" t="n">
        <v>3000</v>
      </c>
      <c r="J19" s="22">
        <f>F19*I19</f>
        <v/>
      </c>
      <c r="K19" s="19" t="inlineStr">
        <is>
          <t>BOM</t>
        </is>
      </c>
      <c r="L19" s="20" t="inlineStr">
        <is>
          <t>—</t>
        </is>
      </c>
      <c r="M19" s="19" t="inlineStr">
        <is>
          <t>2-3 wk</t>
        </is>
      </c>
      <c r="N19" s="20" t="inlineStr">
        <is>
          <t>4-in-1 substitution REJECTED: 60 A 4-in-1 boards are 30×30 mm FPV stacks, unsuitable for 18 in props, and one failure stops all four motors.</t>
        </is>
      </c>
    </row>
    <row r="20" ht="30" customHeight="1">
      <c r="A20" s="19" t="n">
        <v>15</v>
      </c>
      <c r="B20" s="20" t="inlineStr">
        <is>
          <t>Propeller pair</t>
        </is>
      </c>
      <c r="C20" s="20" t="inlineStr">
        <is>
          <t>S R Aerospace 18x6.1 CF folding</t>
        </is>
      </c>
      <c r="D20" s="20" t="inlineStr">
        <is>
          <t>S R Aerospace (CSIR-NAL certified) / Bharath</t>
        </is>
      </c>
      <c r="E20" s="21" t="n">
        <v>0.7</v>
      </c>
      <c r="F20" s="19" t="n">
        <v>2</v>
      </c>
      <c r="G20" s="19" t="n">
        <v>116</v>
      </c>
      <c r="H20" s="22">
        <f>F20*G20</f>
        <v/>
      </c>
      <c r="I20" s="22" t="n">
        <v>2200</v>
      </c>
      <c r="J20" s="22">
        <f>F20*I20</f>
        <v/>
      </c>
      <c r="K20" s="19" t="inlineStr">
        <is>
          <t>QUOTE</t>
        </is>
      </c>
      <c r="L20" s="20" t="inlineStr">
        <is>
          <t>Tarot TL2848 ₹1,399/pair</t>
        </is>
      </c>
      <c r="M20" s="19" t="inlineStr">
        <is>
          <t>3 wk</t>
        </is>
      </c>
      <c r="N20" s="20" t="inlineStr">
        <is>
          <t>Tarot TL2848 saves ₹1,602 but is NOT folding and has no CSIR-NAL certification.</t>
        </is>
      </c>
    </row>
    <row r="21" ht="30" customHeight="1">
      <c r="A21" s="11" t="n">
        <v>16</v>
      </c>
      <c r="B21" s="12" t="inlineStr">
        <is>
          <t>Prop adapter / folding hub</t>
        </is>
      </c>
      <c r="C21" s="12" t="inlineStr">
        <is>
          <t>—</t>
        </is>
      </c>
      <c r="D21" s="12" t="inlineStr">
        <is>
          <t>Supplied with motor / local machining</t>
        </is>
      </c>
      <c r="E21" s="13" t="n">
        <v>1</v>
      </c>
      <c r="F21" s="11" t="n">
        <v>4</v>
      </c>
      <c r="G21" s="11" t="n">
        <v>14</v>
      </c>
      <c r="H21" s="14">
        <f>F21*G21</f>
        <v/>
      </c>
      <c r="I21" s="14" t="n">
        <v>500</v>
      </c>
      <c r="J21" s="14">
        <f>F21*I21</f>
        <v/>
      </c>
      <c r="K21" s="11" t="inlineStr">
        <is>
          <t>BOM</t>
        </is>
      </c>
      <c r="L21" s="12" t="inlineStr">
        <is>
          <t>—</t>
        </is>
      </c>
      <c r="M21" s="11" t="inlineStr">
        <is>
          <t>3 wk</t>
        </is>
      </c>
      <c r="N21" s="12" t="inlineStr"/>
    </row>
    <row r="22" ht="30" customHeight="1">
      <c r="A22" s="8" t="inlineStr">
        <is>
          <t>POWER</t>
        </is>
      </c>
      <c r="B22" s="9" t="n"/>
      <c r="C22" s="9" t="n"/>
      <c r="D22" s="9" t="n"/>
      <c r="E22" s="9" t="n"/>
      <c r="F22" s="9" t="n"/>
      <c r="G22" s="9" t="n"/>
      <c r="H22" s="10" t="n"/>
      <c r="I22" s="10" t="n"/>
      <c r="J22" s="10" t="n"/>
      <c r="K22" s="9" t="n"/>
      <c r="L22" s="9" t="n"/>
      <c r="M22" s="9" t="n"/>
      <c r="N22" s="9" t="n"/>
    </row>
    <row r="23" ht="30" customHeight="1">
      <c r="A23" s="19" t="n">
        <v>17</v>
      </c>
      <c r="B23" s="20" t="inlineStr">
        <is>
          <t>Li-ion cell</t>
        </is>
      </c>
      <c r="C23" s="20" t="inlineStr">
        <is>
          <t>GODI 21700 NMC811</t>
        </is>
      </c>
      <c r="D23" s="20" t="inlineStr">
        <is>
          <t>GODI India (Hyderabad, BIS-certified 21700 N</t>
        </is>
      </c>
      <c r="E23" s="21" t="n">
        <v>0.4</v>
      </c>
      <c r="F23" s="19" t="n">
        <v>18</v>
      </c>
      <c r="G23" s="19" t="n">
        <v>70</v>
      </c>
      <c r="H23" s="22">
        <f>F23*G23</f>
        <v/>
      </c>
      <c r="I23" s="22" t="n">
        <v>700</v>
      </c>
      <c r="J23" s="22">
        <f>F23*I23</f>
        <v/>
      </c>
      <c r="K23" s="19" t="inlineStr">
        <is>
          <t>QUOTE</t>
        </is>
      </c>
      <c r="L23" s="20" t="inlineStr">
        <is>
          <t>Molicel P45B ₹560</t>
        </is>
      </c>
      <c r="M23" s="19" t="inlineStr">
        <is>
          <t>4-6 wk</t>
        </is>
      </c>
      <c r="N23" s="20" t="inlineStr">
        <is>
          <t>Substituting Molicel saves ₹2,520 and takes this line's Indian content from 40 % to 0 %. Largest indigenisation loss available.</t>
        </is>
      </c>
    </row>
    <row r="24" ht="30" customHeight="1">
      <c r="A24" s="11" t="n">
        <v>18</v>
      </c>
      <c r="B24" s="12" t="inlineStr">
        <is>
          <t>Pack assembly</t>
        </is>
      </c>
      <c r="C24" s="12" t="inlineStr">
        <is>
          <t>—</t>
        </is>
      </c>
      <c r="D24" s="12" t="inlineStr">
        <is>
          <t xml:space="preserve">Revogreen Batteries / Lion Battery / Neuron </t>
        </is>
      </c>
      <c r="E24" s="13" t="n">
        <v>0.9</v>
      </c>
      <c r="F24" s="11" t="n">
        <v>1</v>
      </c>
      <c r="G24" s="11" t="n">
        <v>260</v>
      </c>
      <c r="H24" s="14">
        <f>F24*G24</f>
        <v/>
      </c>
      <c r="I24" s="14" t="n">
        <v>3500</v>
      </c>
      <c r="J24" s="14">
        <f>F24*I24</f>
        <v/>
      </c>
      <c r="K24" s="11" t="inlineStr">
        <is>
          <t>BOM</t>
        </is>
      </c>
      <c r="L24" s="12" t="inlineStr">
        <is>
          <t>—</t>
        </is>
      </c>
      <c r="M24" s="11" t="inlineStr">
        <is>
          <t>2-3 wk</t>
        </is>
      </c>
      <c r="N24" s="12" t="inlineStr"/>
    </row>
    <row r="25" ht="30" customHeight="1">
      <c r="A25" s="11" t="n">
        <v>19</v>
      </c>
      <c r="B25" s="12" t="inlineStr">
        <is>
          <t>BMS / balance board</t>
        </is>
      </c>
      <c r="C25" s="12" t="inlineStr">
        <is>
          <t>—</t>
        </is>
      </c>
      <c r="D25" s="12" t="inlineStr">
        <is>
          <t>Flameback Tech / Indian pack house</t>
        </is>
      </c>
      <c r="E25" s="13" t="n">
        <v>0.8</v>
      </c>
      <c r="F25" s="11" t="n">
        <v>1</v>
      </c>
      <c r="G25" s="11" t="n">
        <v>45</v>
      </c>
      <c r="H25" s="14">
        <f>F25*G25</f>
        <v/>
      </c>
      <c r="I25" s="14" t="n">
        <v>1600</v>
      </c>
      <c r="J25" s="14">
        <f>F25*I25</f>
        <v/>
      </c>
      <c r="K25" s="11" t="inlineStr">
        <is>
          <t>BOM</t>
        </is>
      </c>
      <c r="L25" s="12" t="inlineStr">
        <is>
          <t>—</t>
        </is>
      </c>
      <c r="M25" s="11" t="inlineStr">
        <is>
          <t>2 wk</t>
        </is>
      </c>
      <c r="N25" s="12" t="inlineStr"/>
    </row>
    <row r="26" ht="30" customHeight="1">
      <c r="A26" s="11" t="n">
        <v>20</v>
      </c>
      <c r="B26" s="12" t="inlineStr">
        <is>
          <t>Power distribution board</t>
        </is>
      </c>
      <c r="C26" s="12" t="inlineStr">
        <is>
          <t>—</t>
        </is>
      </c>
      <c r="D26" s="12" t="inlineStr">
        <is>
          <t>Flameback Tech (India)</t>
        </is>
      </c>
      <c r="E26" s="13" t="n">
        <v>0.8</v>
      </c>
      <c r="F26" s="11" t="n">
        <v>1</v>
      </c>
      <c r="G26" s="11" t="n">
        <v>55</v>
      </c>
      <c r="H26" s="14">
        <f>F26*G26</f>
        <v/>
      </c>
      <c r="I26" s="14" t="n">
        <v>1800</v>
      </c>
      <c r="J26" s="14">
        <f>F26*I26</f>
        <v/>
      </c>
      <c r="K26" s="11" t="inlineStr">
        <is>
          <t>BOM</t>
        </is>
      </c>
      <c r="L26" s="12" t="inlineStr">
        <is>
          <t>—</t>
        </is>
      </c>
      <c r="M26" s="11" t="inlineStr">
        <is>
          <t>2 wk</t>
        </is>
      </c>
      <c r="N26" s="12" t="inlineStr"/>
    </row>
    <row r="27" ht="30" customHeight="1">
      <c r="A27" s="11" t="n">
        <v>21</v>
      </c>
      <c r="B27" s="12" t="inlineStr">
        <is>
          <t>Power module / current sensor</t>
        </is>
      </c>
      <c r="C27" s="12" t="inlineStr">
        <is>
          <t>—</t>
        </is>
      </c>
      <c r="D27" s="12" t="inlineStr">
        <is>
          <t>Bharath Components / Flameback Tech</t>
        </is>
      </c>
      <c r="E27" s="13" t="n">
        <v>0.8</v>
      </c>
      <c r="F27" s="11" t="n">
        <v>1</v>
      </c>
      <c r="G27" s="11" t="n">
        <v>45</v>
      </c>
      <c r="H27" s="14">
        <f>F27*G27</f>
        <v/>
      </c>
      <c r="I27" s="14" t="n">
        <v>2800</v>
      </c>
      <c r="J27" s="14">
        <f>F27*I27</f>
        <v/>
      </c>
      <c r="K27" s="11" t="inlineStr">
        <is>
          <t>BOM</t>
        </is>
      </c>
      <c r="L27" s="12" t="inlineStr">
        <is>
          <t>—</t>
        </is>
      </c>
      <c r="M27" s="11" t="inlineStr">
        <is>
          <t>2-3 wk</t>
        </is>
      </c>
      <c r="N27" s="12" t="inlineStr"/>
    </row>
    <row r="28" ht="30" customHeight="1">
      <c r="A28" s="11" t="n">
        <v>22</v>
      </c>
      <c r="B28" s="12" t="inlineStr">
        <is>
          <t>BEC 5 V and 12 V</t>
        </is>
      </c>
      <c r="C28" s="12" t="inlineStr">
        <is>
          <t>—</t>
        </is>
      </c>
      <c r="D28" s="12" t="inlineStr">
        <is>
          <t>Flameback Tech / Indian power-electronics ho</t>
        </is>
      </c>
      <c r="E28" s="13" t="n">
        <v>0.8</v>
      </c>
      <c r="F28" s="11" t="n">
        <v>2</v>
      </c>
      <c r="G28" s="11" t="n">
        <v>31</v>
      </c>
      <c r="H28" s="14">
        <f>F28*G28</f>
        <v/>
      </c>
      <c r="I28" s="14" t="n">
        <v>1000</v>
      </c>
      <c r="J28" s="14">
        <f>F28*I28</f>
        <v/>
      </c>
      <c r="K28" s="11" t="inlineStr">
        <is>
          <t>BOM</t>
        </is>
      </c>
      <c r="L28" s="12" t="inlineStr">
        <is>
          <t>—</t>
        </is>
      </c>
      <c r="M28" s="11" t="inlineStr">
        <is>
          <t>1-2 wk</t>
        </is>
      </c>
      <c r="N28" s="12" t="inlineStr"/>
    </row>
    <row r="29" ht="30" customHeight="1">
      <c r="A29" s="11" t="n">
        <v>23</v>
      </c>
      <c r="B29" s="12" t="inlineStr">
        <is>
          <t>Silicone wire and lugs</t>
        </is>
      </c>
      <c r="C29" s="12" t="inlineStr">
        <is>
          <t>—</t>
        </is>
      </c>
      <c r="D29" s="12" t="inlineStr">
        <is>
          <t>Polycab / Finolex / RR Kabel</t>
        </is>
      </c>
      <c r="E29" s="13" t="n">
        <v>1</v>
      </c>
      <c r="F29" s="11" t="n">
        <v>1</v>
      </c>
      <c r="G29" s="11" t="n">
        <v>205</v>
      </c>
      <c r="H29" s="14">
        <f>F29*G29</f>
        <v/>
      </c>
      <c r="I29" s="14" t="n">
        <v>1200</v>
      </c>
      <c r="J29" s="14">
        <f>F29*I29</f>
        <v/>
      </c>
      <c r="K29" s="11" t="inlineStr">
        <is>
          <t>BOM</t>
        </is>
      </c>
      <c r="L29" s="12" t="inlineStr">
        <is>
          <t>—</t>
        </is>
      </c>
      <c r="M29" s="11" t="inlineStr">
        <is>
          <t>1 wk</t>
        </is>
      </c>
      <c r="N29" s="12" t="inlineStr"/>
    </row>
    <row r="30" ht="30" customHeight="1">
      <c r="A30" s="11" t="n">
        <v>24</v>
      </c>
      <c r="B30" s="12" t="inlineStr">
        <is>
          <t>Connectors</t>
        </is>
      </c>
      <c r="C30" s="12" t="inlineStr">
        <is>
          <t>—</t>
        </is>
      </c>
      <c r="D30" s="12" t="inlineStr">
        <is>
          <t>Indian distributor; connector bodies importe</t>
        </is>
      </c>
      <c r="E30" s="13" t="n">
        <v>0.1</v>
      </c>
      <c r="F30" s="11" t="n">
        <v>1</v>
      </c>
      <c r="G30" s="11" t="n">
        <v>45</v>
      </c>
      <c r="H30" s="14">
        <f>F30*G30</f>
        <v/>
      </c>
      <c r="I30" s="14" t="n">
        <v>900</v>
      </c>
      <c r="J30" s="14">
        <f>F30*I30</f>
        <v/>
      </c>
      <c r="K30" s="11" t="inlineStr">
        <is>
          <t>BOM</t>
        </is>
      </c>
      <c r="L30" s="12" t="inlineStr">
        <is>
          <t>—</t>
        </is>
      </c>
      <c r="M30" s="11" t="inlineStr">
        <is>
          <t>1-2 wk</t>
        </is>
      </c>
      <c r="N30" s="12" t="inlineStr"/>
    </row>
    <row r="31" ht="30" customHeight="1">
      <c r="A31" s="11" t="n">
        <v>25</v>
      </c>
      <c r="B31" s="12" t="inlineStr">
        <is>
          <t>Buzzer + LED</t>
        </is>
      </c>
      <c r="C31" s="12" t="inlineStr">
        <is>
          <t>—</t>
        </is>
      </c>
      <c r="D31" s="12" t="inlineStr">
        <is>
          <t>Local electronics</t>
        </is>
      </c>
      <c r="E31" s="13" t="n">
        <v>0.5</v>
      </c>
      <c r="F31" s="11" t="n">
        <v>1</v>
      </c>
      <c r="G31" s="11" t="n">
        <v>12</v>
      </c>
      <c r="H31" s="14">
        <f>F31*G31</f>
        <v/>
      </c>
      <c r="I31" s="14" t="n">
        <v>250</v>
      </c>
      <c r="J31" s="14">
        <f>F31*I31</f>
        <v/>
      </c>
      <c r="K31" s="11" t="inlineStr">
        <is>
          <t>BOM</t>
        </is>
      </c>
      <c r="L31" s="12" t="inlineStr">
        <is>
          <t>—</t>
        </is>
      </c>
      <c r="M31" s="11" t="inlineStr">
        <is>
          <t>1 wk</t>
        </is>
      </c>
      <c r="N31" s="12" t="inlineStr"/>
    </row>
    <row r="32" ht="30" customHeight="1">
      <c r="A32" s="8" t="inlineStr">
        <is>
          <t>AVIONICS</t>
        </is>
      </c>
      <c r="B32" s="9" t="n"/>
      <c r="C32" s="9" t="n"/>
      <c r="D32" s="9" t="n"/>
      <c r="E32" s="9" t="n"/>
      <c r="F32" s="9" t="n"/>
      <c r="G32" s="9" t="n"/>
      <c r="H32" s="10" t="n"/>
      <c r="I32" s="10" t="n"/>
      <c r="J32" s="10" t="n"/>
      <c r="K32" s="9" t="n"/>
      <c r="L32" s="9" t="n"/>
      <c r="M32" s="9" t="n"/>
      <c r="N32" s="9" t="n"/>
    </row>
    <row r="33" ht="30" customHeight="1">
      <c r="A33" s="19" t="n">
        <v>26</v>
      </c>
      <c r="B33" s="20" t="inlineStr">
        <is>
          <t>Flight controller</t>
        </is>
      </c>
      <c r="C33" s="20" t="inlineStr">
        <is>
          <t>Agam Autopilot V6X-RT</t>
        </is>
      </c>
      <c r="D33" s="20" t="inlineStr">
        <is>
          <t>Agam Robotics (Bengaluru)</t>
        </is>
      </c>
      <c r="E33" s="21" t="n">
        <v>0.6</v>
      </c>
      <c r="F33" s="19" t="n">
        <v>1</v>
      </c>
      <c r="G33" s="19" t="n">
        <v>50</v>
      </c>
      <c r="H33" s="22">
        <f>F33*G33</f>
        <v/>
      </c>
      <c r="I33" s="22" t="n">
        <v>26000</v>
      </c>
      <c r="J33" s="22">
        <f>F33*I33</f>
        <v/>
      </c>
      <c r="K33" s="19" t="inlineStr">
        <is>
          <t>QUOTE</t>
        </is>
      </c>
      <c r="L33" s="20" t="inlineStr">
        <is>
          <t>Pixhawk 6C Mini ₹22,600</t>
        </is>
      </c>
      <c r="M33" s="19" t="inlineStr">
        <is>
          <t>3-4 wk</t>
        </is>
      </c>
      <c r="N33" s="20" t="inlineStr">
        <is>
          <t>KEEP. The imported alternative saves ₹3,400 and forfeits a Made-in-India autopilot. Decision D5.</t>
        </is>
      </c>
    </row>
    <row r="34" ht="30" customHeight="1">
      <c r="A34" s="19" t="n">
        <v>27</v>
      </c>
      <c r="B34" s="20" t="inlineStr">
        <is>
          <t>VEGA co-processor board</t>
        </is>
      </c>
      <c r="C34" s="20" t="inlineStr">
        <is>
          <t>C-DAC ARIES v3.0 (THEJAS32)</t>
        </is>
      </c>
      <c r="D34" s="20" t="inlineStr">
        <is>
          <t xml:space="preserve">C-DAC (MeitY) — 2 kits free to each top-100 </t>
        </is>
      </c>
      <c r="E34" s="21" t="n">
        <v>1</v>
      </c>
      <c r="F34" s="19" t="n">
        <v>1</v>
      </c>
      <c r="G34" s="19" t="n">
        <v>60</v>
      </c>
      <c r="H34" s="22">
        <f>F34*G34</f>
        <v/>
      </c>
      <c r="I34" s="22" t="n">
        <v>0</v>
      </c>
      <c r="J34" s="22">
        <f>F34*I34</f>
        <v/>
      </c>
      <c r="K34" s="19" t="inlineStr">
        <is>
          <t>BOM</t>
        </is>
      </c>
      <c r="L34" s="20" t="inlineStr">
        <is>
          <t>—</t>
        </is>
      </c>
      <c r="M34" s="19" t="inlineStr">
        <is>
          <t>via NIDAR</t>
        </is>
      </c>
      <c r="N34" s="20" t="inlineStr">
        <is>
          <t>₹0. RV32IM at 100 MHz with 256 KB SRAM — a watchdog/monitor, NOT an AI accelerator.</t>
        </is>
      </c>
    </row>
    <row r="35" ht="30" customHeight="1">
      <c r="A35" s="19" t="n">
        <v>28</v>
      </c>
      <c r="B35" s="20" t="inlineStr">
        <is>
          <t>GNSS primary</t>
        </is>
      </c>
      <c r="C35" s="20" t="inlineStr">
        <is>
          <t>Teravolt AeroNav-1</t>
        </is>
      </c>
      <c r="D35" s="20" t="inlineStr">
        <is>
          <t>Teravolt Labs (India)</t>
        </is>
      </c>
      <c r="E35" s="21" t="n">
        <v>0.6</v>
      </c>
      <c r="F35" s="19" t="n">
        <v>1</v>
      </c>
      <c r="G35" s="19" t="n">
        <v>55</v>
      </c>
      <c r="H35" s="22">
        <f>F35*G35</f>
        <v/>
      </c>
      <c r="I35" s="22" t="n">
        <v>18000</v>
      </c>
      <c r="J35" s="22">
        <f>F35*I35</f>
        <v/>
      </c>
      <c r="K35" s="19" t="inlineStr">
        <is>
          <t>BOM</t>
        </is>
      </c>
      <c r="L35" s="20" t="inlineStr">
        <is>
          <t>—</t>
        </is>
      </c>
      <c r="M35" s="19" t="inlineStr">
        <is>
          <t>3 wk</t>
        </is>
      </c>
      <c r="N35" s="20" t="inlineStr">
        <is>
          <t>No cheaper RTK-capable equivalent. RTK is not claimed on the product page — decision D1.</t>
        </is>
      </c>
    </row>
    <row r="36" ht="30" customHeight="1">
      <c r="A36" s="19" t="n">
        <v>29</v>
      </c>
      <c r="B36" s="20" t="inlineStr">
        <is>
          <t>GNSS secondary (heading)</t>
        </is>
      </c>
      <c r="C36" s="20" t="inlineStr">
        <is>
          <t>Teravolt AeroNav-1 (2nd)</t>
        </is>
      </c>
      <c r="D36" s="20" t="inlineStr">
        <is>
          <t>Teravolt Labs / Accord Software (Bengaluru)</t>
        </is>
      </c>
      <c r="E36" s="21" t="n">
        <v>0.6</v>
      </c>
      <c r="F36" s="19" t="n">
        <v>1</v>
      </c>
      <c r="G36" s="19" t="n">
        <v>50</v>
      </c>
      <c r="H36" s="22">
        <f>F36*G36</f>
        <v/>
      </c>
      <c r="I36" s="22" t="n">
        <v>17000</v>
      </c>
      <c r="J36" s="22">
        <f>F36*I36</f>
        <v/>
      </c>
      <c r="K36" s="19" t="inlineStr">
        <is>
          <t>BOM</t>
        </is>
      </c>
      <c r="L36" s="20" t="inlineStr">
        <is>
          <t>—</t>
        </is>
      </c>
      <c r="M36" s="19" t="inlineStr">
        <is>
          <t>3 wk</t>
        </is>
      </c>
      <c r="N36" s="20" t="inlineStr">
        <is>
          <t>Moving-baseline yaw. No alternative.</t>
        </is>
      </c>
    </row>
    <row r="37" ht="30" customHeight="1">
      <c r="A37" s="11" t="n">
        <v>30</v>
      </c>
      <c r="B37" s="12" t="inlineStr">
        <is>
          <t>GNSS antenna</t>
        </is>
      </c>
      <c r="C37" s="12" t="inlineStr">
        <is>
          <t>—</t>
        </is>
      </c>
      <c r="D37" s="12" t="inlineStr">
        <is>
          <t>Supplied with the Indian receiver kits</t>
        </is>
      </c>
      <c r="E37" s="13" t="n">
        <v>0.6</v>
      </c>
      <c r="F37" s="11" t="n">
        <v>2</v>
      </c>
      <c r="G37" s="11" t="n">
        <v>35</v>
      </c>
      <c r="H37" s="14">
        <f>F37*G37</f>
        <v/>
      </c>
      <c r="I37" s="14" t="n">
        <v>3200</v>
      </c>
      <c r="J37" s="14">
        <f>F37*I37</f>
        <v/>
      </c>
      <c r="K37" s="11" t="inlineStr">
        <is>
          <t>BOM</t>
        </is>
      </c>
      <c r="L37" s="12" t="inlineStr">
        <is>
          <t>—</t>
        </is>
      </c>
      <c r="M37" s="11" t="inlineStr">
        <is>
          <t>3 wk</t>
        </is>
      </c>
      <c r="N37" s="12" t="inlineStr"/>
    </row>
    <row r="38" ht="30" customHeight="1">
      <c r="A38" s="11" t="n">
        <v>31</v>
      </c>
      <c r="B38" s="12" t="inlineStr">
        <is>
          <t>RC receiver</t>
        </is>
      </c>
      <c r="C38" s="12" t="inlineStr">
        <is>
          <t>Zerodrag Nexus1 ELRS</t>
        </is>
      </c>
      <c r="D38" s="12" t="inlineStr">
        <is>
          <t>Zerodrag (India)</t>
        </is>
      </c>
      <c r="E38" s="13" t="n">
        <v>0.5</v>
      </c>
      <c r="F38" s="11" t="n">
        <v>1</v>
      </c>
      <c r="G38" s="11" t="n">
        <v>12</v>
      </c>
      <c r="H38" s="14">
        <f>F38*G38</f>
        <v/>
      </c>
      <c r="I38" s="14" t="n">
        <v>2000</v>
      </c>
      <c r="J38" s="14">
        <f>F38*I38</f>
        <v/>
      </c>
      <c r="K38" s="11" t="inlineStr">
        <is>
          <t>QUOTE</t>
        </is>
      </c>
      <c r="L38" s="12" t="inlineStr">
        <is>
          <t>—</t>
        </is>
      </c>
      <c r="M38" s="11" t="inlineStr">
        <is>
          <t>1 wk</t>
        </is>
      </c>
      <c r="N38" s="12" t="inlineStr"/>
    </row>
    <row r="39" ht="30" customHeight="1">
      <c r="A39" s="11" t="n">
        <v>32</v>
      </c>
      <c r="B39" s="12" t="inlineStr">
        <is>
          <t>Safety switch, LED, SD cards</t>
        </is>
      </c>
      <c r="C39" s="12" t="inlineStr">
        <is>
          <t>—</t>
        </is>
      </c>
      <c r="D39" s="12" t="inlineStr">
        <is>
          <t>Indian distributor / Agam accessories</t>
        </is>
      </c>
      <c r="E39" s="13" t="n">
        <v>0.4</v>
      </c>
      <c r="F39" s="11" t="n">
        <v>1</v>
      </c>
      <c r="G39" s="11" t="n">
        <v>22</v>
      </c>
      <c r="H39" s="14">
        <f>F39*G39</f>
        <v/>
      </c>
      <c r="I39" s="14" t="n">
        <v>1400</v>
      </c>
      <c r="J39" s="14">
        <f>F39*I39</f>
        <v/>
      </c>
      <c r="K39" s="11" t="inlineStr">
        <is>
          <t>BOM</t>
        </is>
      </c>
      <c r="L39" s="12" t="inlineStr">
        <is>
          <t>—</t>
        </is>
      </c>
      <c r="M39" s="11" t="inlineStr">
        <is>
          <t>1-2 wk</t>
        </is>
      </c>
      <c r="N39" s="12" t="inlineStr"/>
    </row>
    <row r="40" ht="30" customHeight="1">
      <c r="A40" s="8" t="inlineStr">
        <is>
          <t>COMPUTE AND PERCEPTION</t>
        </is>
      </c>
      <c r="B40" s="9" t="n"/>
      <c r="C40" s="9" t="n"/>
      <c r="D40" s="9" t="n"/>
      <c r="E40" s="9" t="n"/>
      <c r="F40" s="9" t="n"/>
      <c r="G40" s="9" t="n"/>
      <c r="H40" s="10" t="n"/>
      <c r="I40" s="10" t="n"/>
      <c r="J40" s="10" t="n"/>
      <c r="K40" s="9" t="n"/>
      <c r="L40" s="9" t="n"/>
      <c r="M40" s="9" t="n"/>
      <c r="N40" s="9" t="n"/>
    </row>
    <row r="41" ht="30" customHeight="1">
      <c r="A41" s="19" t="n">
        <v>33</v>
      </c>
      <c r="B41" s="20" t="inlineStr">
        <is>
          <t>AI compute module</t>
        </is>
      </c>
      <c r="C41" s="20" t="inlineStr">
        <is>
          <t>NVIDIA Jetson Orin Nano Super</t>
        </is>
      </c>
      <c r="D41" s="20" t="inlineStr">
        <is>
          <t>Imported SoM on a VVDN / Syrma SGS / e-con b</t>
        </is>
      </c>
      <c r="E41" s="21" t="n">
        <v>0.25</v>
      </c>
      <c r="F41" s="19" t="n">
        <v>1</v>
      </c>
      <c r="G41" s="19" t="n">
        <v>200</v>
      </c>
      <c r="H41" s="22">
        <f>F41*G41</f>
        <v/>
      </c>
      <c r="I41" s="22" t="n">
        <v>38000</v>
      </c>
      <c r="J41" s="22">
        <f>F41*I41</f>
        <v/>
      </c>
      <c r="K41" s="19" t="inlineStr">
        <is>
          <t>BOM</t>
        </is>
      </c>
      <c r="L41" s="20" t="inlineStr">
        <is>
          <t>Pi5 + AI HAT+ 26 TOPS ~₹20,000</t>
        </is>
      </c>
      <c r="M41" s="19" t="inlineStr">
        <is>
          <t>4-8 wk</t>
        </is>
      </c>
      <c r="N41" s="20" t="inlineStr">
        <is>
          <t>Substitute to Pi 5 + AI HAT+ 26 TOPS saves ~₹18,000 AND meets the ≥20 TOPS spec. Conditional on benchmark. Decision D3.</t>
        </is>
      </c>
    </row>
    <row r="42" ht="30" customHeight="1">
      <c r="A42" s="11" t="n">
        <v>34</v>
      </c>
      <c r="B42" s="12" t="inlineStr">
        <is>
          <t>Storage</t>
        </is>
      </c>
      <c r="C42" s="12" t="inlineStr">
        <is>
          <t>—</t>
        </is>
      </c>
      <c r="D42" s="12" t="inlineStr">
        <is>
          <t>Indian distributor</t>
        </is>
      </c>
      <c r="E42" s="13" t="n">
        <v>0.1</v>
      </c>
      <c r="F42" s="11" t="n">
        <v>1</v>
      </c>
      <c r="G42" s="11" t="n">
        <v>10</v>
      </c>
      <c r="H42" s="14">
        <f>F42*G42</f>
        <v/>
      </c>
      <c r="I42" s="14" t="n">
        <v>2800</v>
      </c>
      <c r="J42" s="14">
        <f>F42*I42</f>
        <v/>
      </c>
      <c r="K42" s="11" t="inlineStr">
        <is>
          <t>BOM</t>
        </is>
      </c>
      <c r="L42" s="12" t="inlineStr">
        <is>
          <t>—</t>
        </is>
      </c>
      <c r="M42" s="11" t="inlineStr">
        <is>
          <t>1 wk</t>
        </is>
      </c>
      <c r="N42" s="12" t="inlineStr"/>
    </row>
    <row r="43" ht="30" customHeight="1">
      <c r="A43" s="19" t="n">
        <v>35</v>
      </c>
      <c r="B43" s="20" t="inlineStr">
        <is>
          <t>Camera module</t>
        </is>
      </c>
      <c r="C43" s="20" t="inlineStr">
        <is>
          <t>e-con e-CAM121_CUONX</t>
        </is>
      </c>
      <c r="D43" s="20" t="inlineStr">
        <is>
          <t>e-con Systems (Chennai)</t>
        </is>
      </c>
      <c r="E43" s="21" t="n">
        <v>0.6</v>
      </c>
      <c r="F43" s="19" t="n">
        <v>1</v>
      </c>
      <c r="G43" s="19" t="n">
        <v>80</v>
      </c>
      <c r="H43" s="22">
        <f>F43*G43</f>
        <v/>
      </c>
      <c r="I43" s="22" t="n">
        <v>14000</v>
      </c>
      <c r="J43" s="22">
        <f>F43*I43</f>
        <v/>
      </c>
      <c r="K43" s="19" t="inlineStr">
        <is>
          <t>QUOTE</t>
        </is>
      </c>
      <c r="L43" s="20" t="inlineStr">
        <is>
          <t>Arducam IMX477 ₹9,600</t>
        </is>
      </c>
      <c r="M43" s="19" t="inlineStr">
        <is>
          <t>3-4 wk</t>
        </is>
      </c>
      <c r="N43" s="20" t="inlineStr">
        <is>
          <t>Arducam IMX477 saves ₹4,400. Re-measure GSD and low-light before accepting.</t>
        </is>
      </c>
    </row>
    <row r="44" ht="30" customHeight="1">
      <c r="A44" s="11" t="n">
        <v>36</v>
      </c>
      <c r="B44" s="12" t="inlineStr">
        <is>
          <t>Lens</t>
        </is>
      </c>
      <c r="C44" s="12" t="inlineStr">
        <is>
          <t>—</t>
        </is>
      </c>
      <c r="D44" s="12" t="inlineStr">
        <is>
          <t>e-con Systems / Indian optics house</t>
        </is>
      </c>
      <c r="E44" s="13" t="n">
        <v>0.5</v>
      </c>
      <c r="F44" s="11" t="n">
        <v>1</v>
      </c>
      <c r="G44" s="11" t="n">
        <v>25</v>
      </c>
      <c r="H44" s="14">
        <f>F44*G44</f>
        <v/>
      </c>
      <c r="I44" s="14" t="n">
        <v>2600</v>
      </c>
      <c r="J44" s="14">
        <f>F44*I44</f>
        <v/>
      </c>
      <c r="K44" s="11" t="inlineStr">
        <is>
          <t>BOM</t>
        </is>
      </c>
      <c r="L44" s="12" t="inlineStr">
        <is>
          <t>—</t>
        </is>
      </c>
      <c r="M44" s="11" t="inlineStr">
        <is>
          <t>3 wk</t>
        </is>
      </c>
      <c r="N44" s="12" t="inlineStr"/>
    </row>
    <row r="45" ht="30" customHeight="1">
      <c r="A45" s="11" t="n">
        <v>37</v>
      </c>
      <c r="B45" s="12" t="inlineStr">
        <is>
          <t>Camera mount</t>
        </is>
      </c>
      <c r="C45" s="12" t="inlineStr">
        <is>
          <t>—</t>
        </is>
      </c>
      <c r="D45" s="12" t="inlineStr">
        <is>
          <t>In-house</t>
        </is>
      </c>
      <c r="E45" s="13" t="n">
        <v>1</v>
      </c>
      <c r="F45" s="11" t="n">
        <v>1</v>
      </c>
      <c r="G45" s="11" t="n">
        <v>45</v>
      </c>
      <c r="H45" s="14">
        <f>F45*G45</f>
        <v/>
      </c>
      <c r="I45" s="14" t="n">
        <v>1200</v>
      </c>
      <c r="J45" s="14">
        <f>F45*I45</f>
        <v/>
      </c>
      <c r="K45" s="11" t="inlineStr">
        <is>
          <t>BOM</t>
        </is>
      </c>
      <c r="L45" s="12" t="inlineStr">
        <is>
          <t>—</t>
        </is>
      </c>
      <c r="M45" s="11" t="inlineStr">
        <is>
          <t>1 wk</t>
        </is>
      </c>
      <c r="N45" s="12" t="inlineStr"/>
    </row>
    <row r="46" ht="30" customHeight="1">
      <c r="A46" s="11" t="n">
        <v>38</v>
      </c>
      <c r="B46" s="12" t="inlineStr">
        <is>
          <t>Cabling and cooling</t>
        </is>
      </c>
      <c r="C46" s="12" t="inlineStr">
        <is>
          <t>—</t>
        </is>
      </c>
      <c r="D46" s="12" t="inlineStr">
        <is>
          <t>e-con / local + Indian heatsink extruder</t>
        </is>
      </c>
      <c r="E46" s="13" t="n">
        <v>0.4</v>
      </c>
      <c r="F46" s="11" t="n">
        <v>1</v>
      </c>
      <c r="G46" s="11" t="n">
        <v>100</v>
      </c>
      <c r="H46" s="14">
        <f>F46*G46</f>
        <v/>
      </c>
      <c r="I46" s="14" t="n">
        <v>3500</v>
      </c>
      <c r="J46" s="14">
        <f>F46*I46</f>
        <v/>
      </c>
      <c r="K46" s="11" t="inlineStr">
        <is>
          <t>BOM</t>
        </is>
      </c>
      <c r="L46" s="12" t="inlineStr">
        <is>
          <t>—</t>
        </is>
      </c>
      <c r="M46" s="11" t="inlineStr">
        <is>
          <t>2 wk</t>
        </is>
      </c>
      <c r="N46" s="12" t="inlineStr"/>
    </row>
    <row r="47" ht="30" customHeight="1">
      <c r="A47" s="8" t="inlineStr">
        <is>
          <t>COMMUNICATIONS</t>
        </is>
      </c>
      <c r="B47" s="9" t="n"/>
      <c r="C47" s="9" t="n"/>
      <c r="D47" s="9" t="n"/>
      <c r="E47" s="9" t="n"/>
      <c r="F47" s="9" t="n"/>
      <c r="G47" s="9" t="n"/>
      <c r="H47" s="10" t="n"/>
      <c r="I47" s="10" t="n"/>
      <c r="J47" s="10" t="n"/>
      <c r="K47" s="9" t="n"/>
      <c r="L47" s="9" t="n"/>
      <c r="M47" s="9" t="n"/>
      <c r="N47" s="9" t="n"/>
    </row>
    <row r="48" ht="30" customHeight="1">
      <c r="A48" s="19" t="n">
        <v>39</v>
      </c>
      <c r="B48" s="20" t="inlineStr">
        <is>
          <t>Mesh node</t>
        </is>
      </c>
      <c r="C48" s="20" t="inlineStr">
        <is>
          <t>UNSOURCED — see D4</t>
        </is>
      </c>
      <c r="D48" s="20" t="inlineStr">
        <is>
          <t xml:space="preserve">FxUAV Technologies (Burla, Odisha) / Indian </t>
        </is>
      </c>
      <c r="E48" s="21" t="n">
        <v>0.4</v>
      </c>
      <c r="F48" s="19" t="n">
        <v>1</v>
      </c>
      <c r="G48" s="19" t="n">
        <v>45</v>
      </c>
      <c r="H48" s="22">
        <f>F48*G48</f>
        <v/>
      </c>
      <c r="I48" s="22" t="n">
        <v>9000</v>
      </c>
      <c r="J48" s="22">
        <f>F48*I48</f>
        <v/>
      </c>
      <c r="K48" s="19" t="inlineStr">
        <is>
          <t>BOM</t>
        </is>
      </c>
      <c r="L48" s="20" t="inlineStr">
        <is>
          <t>—</t>
        </is>
      </c>
      <c r="M48" s="19" t="inlineStr">
        <is>
          <t>3-4 wk</t>
        </is>
      </c>
      <c r="N48" s="20" t="inlineStr">
        <is>
          <t>Supplier's mesh module is 928 MHz, not 2.4/5.8 GHz. Unsourced. Decision D4.</t>
        </is>
      </c>
    </row>
    <row r="49" ht="30" customHeight="1">
      <c r="A49" s="11" t="n">
        <v>40</v>
      </c>
      <c r="B49" s="12" t="inlineStr">
        <is>
          <t>5.8 GHz antennas</t>
        </is>
      </c>
      <c r="C49" s="12" t="inlineStr">
        <is>
          <t>—</t>
        </is>
      </c>
      <c r="D49" s="12" t="inlineStr">
        <is>
          <t>Indian RF antenna maker (e.g. Wireless Instr</t>
        </is>
      </c>
      <c r="E49" s="13" t="n">
        <v>0.6</v>
      </c>
      <c r="F49" s="11" t="n">
        <v>2</v>
      </c>
      <c r="G49" s="11" t="n">
        <v>22</v>
      </c>
      <c r="H49" s="14">
        <f>F49*G49</f>
        <v/>
      </c>
      <c r="I49" s="14" t="n">
        <v>700</v>
      </c>
      <c r="J49" s="14">
        <f>F49*I49</f>
        <v/>
      </c>
      <c r="K49" s="11" t="inlineStr">
        <is>
          <t>BOM</t>
        </is>
      </c>
      <c r="L49" s="12" t="inlineStr">
        <is>
          <t>—</t>
        </is>
      </c>
      <c r="M49" s="11" t="inlineStr">
        <is>
          <t>2 wk</t>
        </is>
      </c>
      <c r="N49" s="12" t="inlineStr"/>
    </row>
    <row r="50" ht="30" customHeight="1">
      <c r="A50" s="15" t="n">
        <v>41</v>
      </c>
      <c r="B50" s="16" t="inlineStr">
        <is>
          <t>Sub-GHz safety radio</t>
        </is>
      </c>
      <c r="C50" s="16" t="inlineStr">
        <is>
          <t>UNSOURCED — see D4</t>
        </is>
      </c>
      <c r="D50" s="16" t="inlineStr">
        <is>
          <t>FxUAV Technologies / Indian LoRa module hous</t>
        </is>
      </c>
      <c r="E50" s="17" t="n">
        <v>0.4</v>
      </c>
      <c r="F50" s="15" t="n">
        <v>1</v>
      </c>
      <c r="G50" s="15" t="n">
        <v>30</v>
      </c>
      <c r="H50" s="18">
        <f>F50*G50</f>
        <v/>
      </c>
      <c r="I50" s="18" t="n">
        <v>7500</v>
      </c>
      <c r="J50" s="18">
        <f>F50*I50</f>
        <v/>
      </c>
      <c r="K50" s="15" t="inlineStr">
        <is>
          <t>BOM</t>
        </is>
      </c>
      <c r="L50" s="16" t="inlineStr">
        <is>
          <t>RFD868x ₹38,709 (pair)</t>
        </is>
      </c>
      <c r="M50" s="15" t="inlineStr">
        <is>
          <t>3 wk</t>
        </is>
      </c>
      <c r="N50" s="16" t="inlineStr">
        <is>
          <t>UNDERPRICED. India-compliant part is RFD 868ux-IND; anchor implies ~₹19,355. Exposure +₹11,855. Decision D4.</t>
        </is>
      </c>
    </row>
    <row r="51" ht="30" customHeight="1">
      <c r="A51" s="11" t="n">
        <v>42</v>
      </c>
      <c r="B51" s="12" t="inlineStr">
        <is>
          <t>868 MHz antenna</t>
        </is>
      </c>
      <c r="C51" s="12" t="inlineStr">
        <is>
          <t>—</t>
        </is>
      </c>
      <c r="D51" s="12" t="inlineStr">
        <is>
          <t>Indian RF antenna maker</t>
        </is>
      </c>
      <c r="E51" s="13" t="n">
        <v>0.6</v>
      </c>
      <c r="F51" s="11" t="n">
        <v>1</v>
      </c>
      <c r="G51" s="11" t="n">
        <v>20</v>
      </c>
      <c r="H51" s="14">
        <f>F51*G51</f>
        <v/>
      </c>
      <c r="I51" s="14" t="n">
        <v>600</v>
      </c>
      <c r="J51" s="14">
        <f>F51*I51</f>
        <v/>
      </c>
      <c r="K51" s="11" t="inlineStr">
        <is>
          <t>BOM</t>
        </is>
      </c>
      <c r="L51" s="12" t="inlineStr">
        <is>
          <t>—</t>
        </is>
      </c>
      <c r="M51" s="11" t="inlineStr">
        <is>
          <t>2 wk</t>
        </is>
      </c>
      <c r="N51" s="12" t="inlineStr"/>
    </row>
    <row r="52" ht="30" customHeight="1">
      <c r="A52" s="8" t="inlineStr">
        <is>
          <t>PAYLOAD SYSTEM</t>
        </is>
      </c>
      <c r="B52" s="9" t="n"/>
      <c r="C52" s="9" t="n"/>
      <c r="D52" s="9" t="n"/>
      <c r="E52" s="9" t="n"/>
      <c r="F52" s="9" t="n"/>
      <c r="G52" s="9" t="n"/>
      <c r="H52" s="10" t="n"/>
      <c r="I52" s="10" t="n"/>
      <c r="J52" s="10" t="n"/>
      <c r="K52" s="9" t="n"/>
      <c r="L52" s="9" t="n"/>
      <c r="M52" s="9" t="n"/>
      <c r="N52" s="9" t="n"/>
    </row>
    <row r="53" ht="30" customHeight="1">
      <c r="A53" s="11" t="n">
        <v>43</v>
      </c>
      <c r="B53" s="12" t="inlineStr">
        <is>
          <t>Release servo</t>
        </is>
      </c>
      <c r="C53" s="12" t="inlineStr">
        <is>
          <t>—</t>
        </is>
      </c>
      <c r="D53" s="12" t="inlineStr">
        <is>
          <t>Indian servo supplier / Zerodrag</t>
        </is>
      </c>
      <c r="E53" s="13" t="n">
        <v>0.4</v>
      </c>
      <c r="F53" s="11" t="n">
        <v>4</v>
      </c>
      <c r="G53" s="11" t="n">
        <v>14</v>
      </c>
      <c r="H53" s="14">
        <f>F53*G53</f>
        <v/>
      </c>
      <c r="I53" s="14" t="n">
        <v>700</v>
      </c>
      <c r="J53" s="14">
        <f>F53*I53</f>
        <v/>
      </c>
      <c r="K53" s="11" t="inlineStr">
        <is>
          <t>BOM</t>
        </is>
      </c>
      <c r="L53" s="12" t="inlineStr">
        <is>
          <t>—</t>
        </is>
      </c>
      <c r="M53" s="11" t="inlineStr">
        <is>
          <t>1-2 wk</t>
        </is>
      </c>
      <c r="N53" s="12" t="inlineStr"/>
    </row>
    <row r="54" ht="30" customHeight="1">
      <c r="A54" s="11" t="n">
        <v>44</v>
      </c>
      <c r="B54" s="12" t="inlineStr">
        <is>
          <t>Magazine housing</t>
        </is>
      </c>
      <c r="C54" s="12" t="inlineStr">
        <is>
          <t>—</t>
        </is>
      </c>
      <c r="D54" s="12" t="inlineStr">
        <is>
          <t>In-house</t>
        </is>
      </c>
      <c r="E54" s="13" t="n">
        <v>1</v>
      </c>
      <c r="F54" s="11" t="n">
        <v>1</v>
      </c>
      <c r="G54" s="11" t="n">
        <v>120</v>
      </c>
      <c r="H54" s="14">
        <f>F54*G54</f>
        <v/>
      </c>
      <c r="I54" s="14" t="n">
        <v>800</v>
      </c>
      <c r="J54" s="14">
        <f>F54*I54</f>
        <v/>
      </c>
      <c r="K54" s="11" t="inlineStr">
        <is>
          <t>BOM</t>
        </is>
      </c>
      <c r="L54" s="12" t="inlineStr">
        <is>
          <t>—</t>
        </is>
      </c>
      <c r="M54" s="11" t="inlineStr">
        <is>
          <t>1 wk</t>
        </is>
      </c>
      <c r="N54" s="12" t="inlineStr"/>
    </row>
    <row r="55" ht="30" customHeight="1">
      <c r="A55" s="11" t="n">
        <v>45</v>
      </c>
      <c r="B55" s="12" t="inlineStr">
        <is>
          <t>Positive-lock detent</t>
        </is>
      </c>
      <c r="C55" s="12" t="inlineStr">
        <is>
          <t>—</t>
        </is>
      </c>
      <c r="D55" s="12" t="inlineStr">
        <is>
          <t>In-house + Indian spring maker</t>
        </is>
      </c>
      <c r="E55" s="13" t="n">
        <v>1</v>
      </c>
      <c r="F55" s="11" t="n">
        <v>4</v>
      </c>
      <c r="G55" s="11" t="n">
        <v>9</v>
      </c>
      <c r="H55" s="14">
        <f>F55*G55</f>
        <v/>
      </c>
      <c r="I55" s="14" t="n">
        <v>250</v>
      </c>
      <c r="J55" s="14">
        <f>F55*I55</f>
        <v/>
      </c>
      <c r="K55" s="11" t="inlineStr">
        <is>
          <t>BOM</t>
        </is>
      </c>
      <c r="L55" s="12" t="inlineStr">
        <is>
          <t>—</t>
        </is>
      </c>
      <c r="M55" s="11" t="inlineStr">
        <is>
          <t>1 wk</t>
        </is>
      </c>
      <c r="N55" s="12" t="inlineStr"/>
    </row>
    <row r="56" ht="30" customHeight="1">
      <c r="A56" s="11" t="n">
        <v>46</v>
      </c>
      <c r="B56" s="12" t="inlineStr">
        <is>
          <t>Release confirmation switch</t>
        </is>
      </c>
      <c r="C56" s="12" t="inlineStr">
        <is>
          <t>—</t>
        </is>
      </c>
      <c r="D56" s="12" t="inlineStr">
        <is>
          <t>Indian electronics distributor</t>
        </is>
      </c>
      <c r="E56" s="13" t="n">
        <v>0.3</v>
      </c>
      <c r="F56" s="11" t="n">
        <v>4</v>
      </c>
      <c r="G56" s="11" t="n">
        <v>4</v>
      </c>
      <c r="H56" s="14">
        <f>F56*G56</f>
        <v/>
      </c>
      <c r="I56" s="14" t="n">
        <v>150</v>
      </c>
      <c r="J56" s="14">
        <f>F56*I56</f>
        <v/>
      </c>
      <c r="K56" s="11" t="inlineStr">
        <is>
          <t>BOM</t>
        </is>
      </c>
      <c r="L56" s="12" t="inlineStr">
        <is>
          <t>—</t>
        </is>
      </c>
      <c r="M56" s="11" t="inlineStr">
        <is>
          <t>1 wk</t>
        </is>
      </c>
      <c r="N56" s="12" t="inlineStr"/>
    </row>
    <row r="57" ht="30" customHeight="1">
      <c r="A57" s="11" t="n">
        <v>47</v>
      </c>
      <c r="B57" s="12" t="inlineStr">
        <is>
          <t>Servo harness</t>
        </is>
      </c>
      <c r="C57" s="12" t="inlineStr">
        <is>
          <t>—</t>
        </is>
      </c>
      <c r="D57" s="12" t="inlineStr">
        <is>
          <t>Local</t>
        </is>
      </c>
      <c r="E57" s="13" t="n">
        <v>1</v>
      </c>
      <c r="F57" s="11" t="n">
        <v>1</v>
      </c>
      <c r="G57" s="11" t="n">
        <v>15</v>
      </c>
      <c r="H57" s="14">
        <f>F57*G57</f>
        <v/>
      </c>
      <c r="I57" s="14" t="n">
        <v>200</v>
      </c>
      <c r="J57" s="14">
        <f>F57*I57</f>
        <v/>
      </c>
      <c r="K57" s="11" t="inlineStr">
        <is>
          <t>BOM</t>
        </is>
      </c>
      <c r="L57" s="12" t="inlineStr">
        <is>
          <t>—</t>
        </is>
      </c>
      <c r="M57" s="11" t="inlineStr">
        <is>
          <t>1 wk</t>
        </is>
      </c>
      <c r="N57" s="12" t="inlineStr"/>
    </row>
    <row r="58" ht="30" customHeight="1">
      <c r="A58" s="8" t="inlineStr">
        <is>
          <t>SAFETY</t>
        </is>
      </c>
      <c r="B58" s="9" t="n"/>
      <c r="C58" s="9" t="n"/>
      <c r="D58" s="9" t="n"/>
      <c r="E58" s="9" t="n"/>
      <c r="F58" s="9" t="n"/>
      <c r="G58" s="9" t="n"/>
      <c r="H58" s="10" t="n"/>
      <c r="I58" s="10" t="n"/>
      <c r="J58" s="10" t="n"/>
      <c r="K58" s="9" t="n"/>
      <c r="L58" s="9" t="n"/>
      <c r="M58" s="9" t="n"/>
      <c r="N58" s="9" t="n"/>
    </row>
    <row r="59" ht="30" customHeight="1">
      <c r="A59" s="19" t="n">
        <v>48</v>
      </c>
      <c r="B59" s="20" t="inlineStr">
        <is>
          <t>Recovery parachute</t>
        </is>
      </c>
      <c r="C59" s="20" t="inlineStr">
        <is>
          <t>UNSOURCED — see D2</t>
        </is>
      </c>
      <c r="D59" s="20" t="inlineStr">
        <is>
          <t>Indian UAV-parachute supplier (TBD)</t>
        </is>
      </c>
      <c r="E59" s="21" t="n">
        <v>0.6</v>
      </c>
      <c r="F59" s="19" t="n">
        <v>1</v>
      </c>
      <c r="G59" s="19" t="n">
        <v>240</v>
      </c>
      <c r="H59" s="22">
        <f>F59*G59</f>
        <v/>
      </c>
      <c r="I59" s="22" t="n">
        <v>12000</v>
      </c>
      <c r="J59" s="22">
        <f>F59*I59</f>
        <v/>
      </c>
      <c r="K59" s="19" t="inlineStr">
        <is>
          <t>BOM</t>
        </is>
      </c>
      <c r="L59" s="20" t="inlineStr">
        <is>
          <t>—</t>
        </is>
      </c>
      <c r="M59" s="19" t="inlineStr">
        <is>
          <t>3-4 wk</t>
        </is>
      </c>
      <c r="N59" s="20" t="inlineStr">
        <is>
          <t>No Indian supplier. Nearest option rated 6.2 kg against 6.36 kg MTOW. Decision D2.</t>
        </is>
      </c>
    </row>
    <row r="60" ht="30" customHeight="1">
      <c r="A60" s="11" t="n">
        <v>49</v>
      </c>
      <c r="B60" s="12" t="inlineStr">
        <is>
          <t>Parachute mount + bridle</t>
        </is>
      </c>
      <c r="C60" s="12" t="inlineStr">
        <is>
          <t>—</t>
        </is>
      </c>
      <c r="D60" s="12" t="inlineStr">
        <is>
          <t>In-house + local machining</t>
        </is>
      </c>
      <c r="E60" s="13" t="n">
        <v>1</v>
      </c>
      <c r="F60" s="11" t="n">
        <v>1</v>
      </c>
      <c r="G60" s="11" t="n">
        <v>60</v>
      </c>
      <c r="H60" s="14">
        <f>F60*G60</f>
        <v/>
      </c>
      <c r="I60" s="14" t="n">
        <v>1500</v>
      </c>
      <c r="J60" s="14">
        <f>F60*I60</f>
        <v/>
      </c>
      <c r="K60" s="11" t="inlineStr">
        <is>
          <t>BOM</t>
        </is>
      </c>
      <c r="L60" s="12" t="inlineStr">
        <is>
          <t>—</t>
        </is>
      </c>
      <c r="M60" s="11" t="inlineStr">
        <is>
          <t>1 wk</t>
        </is>
      </c>
      <c r="N60" s="12" t="inlineStr"/>
    </row>
    <row r="61" ht="30" customHeight="1">
      <c r="A61" s="23" t="n"/>
      <c r="B61" s="24" t="inlineStr">
        <is>
          <t>TOTAL, PER AIRCRAFT</t>
        </is>
      </c>
      <c r="C61" s="23" t="n"/>
      <c r="D61" s="23" t="n"/>
      <c r="E61" s="23" t="n"/>
      <c r="F61" s="23" t="n"/>
      <c r="G61" s="23" t="n"/>
      <c r="H61" s="25">
        <f>SUM(H4:H60)</f>
        <v/>
      </c>
      <c r="I61" s="26" t="n"/>
      <c r="J61" s="25">
        <f>SUM(J4:J60)</f>
        <v/>
      </c>
      <c r="K61" s="23" t="n"/>
      <c r="L61" s="23" t="n"/>
      <c r="M61" s="23" t="n"/>
      <c r="N61" s="2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6" customWidth="1" min="1" max="1"/>
    <col width="32" customWidth="1" min="2" max="2"/>
    <col width="52" customWidth="1" min="3" max="3"/>
    <col width="28" customWidth="1" min="4" max="4"/>
    <col width="62" customWidth="1" min="5" max="5"/>
    <col width="10" customWidth="1" min="6" max="6"/>
    <col width="30" customWidth="1" min="7" max="7"/>
  </cols>
  <sheetData>
    <row r="1">
      <c r="A1" s="1" t="inlineStr">
        <is>
          <t>02 — MARKET EVIDENCE</t>
        </is>
      </c>
    </row>
    <row r="2">
      <c r="A2" s="6" t="inlineStr">
        <is>
          <t>Every part considered, with manufacturer model, specification, supplier and source URL. Prices were read on the date shown and are single-unit retail; they move.</t>
        </is>
      </c>
    </row>
    <row r="4">
      <c r="A4" s="27" t="inlineStr">
        <is>
          <t>Role</t>
        </is>
      </c>
      <c r="B4" s="27" t="inlineStr">
        <is>
          <t>Manufacturer / model</t>
        </is>
      </c>
      <c r="C4" s="27" t="inlineStr">
        <is>
          <t>Specification</t>
        </is>
      </c>
      <c r="D4" s="27" t="inlineStr">
        <is>
          <t>Supplier</t>
        </is>
      </c>
      <c r="E4" s="27" t="inlineStr">
        <is>
          <t>Source URL</t>
        </is>
      </c>
      <c r="F4" s="27" t="inlineStr">
        <is>
          <t>₹</t>
        </is>
      </c>
      <c r="G4" s="27" t="inlineStr">
        <is>
          <t>Price basis</t>
        </is>
      </c>
    </row>
    <row r="5" ht="30" customHeight="1">
      <c r="A5" s="28" t="inlineStr">
        <is>
          <t>Flight controller (current)</t>
        </is>
      </c>
      <c r="B5" s="28" t="inlineStr">
        <is>
          <t>Agam Autopilot V6X-RT</t>
        </is>
      </c>
      <c r="C5" s="28" t="inlineStr">
        <is>
          <t>FMUv6X-RT, NXP i.MXRT1176 dual-core 1 GHz + 400 MHz, triple IMU, CAN-3</t>
        </is>
      </c>
      <c r="D5" s="28" t="inlineStr">
        <is>
          <t>Agam Robotics, Bengaluru</t>
        </is>
      </c>
      <c r="E5" s="29" t="inlineStr">
        <is>
          <t>https://www.agamrobotics.com/agamautopilotv6x-rt</t>
        </is>
      </c>
      <c r="F5" s="30" t="inlineStr">
        <is>
          <t>—</t>
        </is>
      </c>
      <c r="G5" s="28" t="inlineStr">
        <is>
          <t>no public price -- quote required</t>
        </is>
      </c>
    </row>
    <row r="6" ht="30" customHeight="1">
      <c r="A6" s="31" t="inlineStr">
        <is>
          <t>Flight controller (alternative)</t>
        </is>
      </c>
      <c r="B6" s="31" t="inlineStr">
        <is>
          <t>Holybro Pixhawk 6C Mini</t>
        </is>
      </c>
      <c r="C6" s="31" t="inlineStr">
        <is>
          <t>STM32H743, dual IMU BMI088 + ICM42688-P, triple power redundancy</t>
        </is>
      </c>
      <c r="D6" s="31" t="inlineStr">
        <is>
          <t>Indian Robo Store / IndiaMART</t>
        </is>
      </c>
      <c r="E6" s="32" t="inlineStr">
        <is>
          <t>https://www.indiamart.com/proddetail/pixhawk-6c-mini-flight-controller-2852778303248.html</t>
        </is>
      </c>
      <c r="F6" s="33" t="n">
        <v>22600</v>
      </c>
      <c r="G6" s="31" t="inlineStr">
        <is>
          <t>listed Aug 2026</t>
        </is>
      </c>
    </row>
    <row r="7" ht="30" customHeight="1">
      <c r="A7" s="28" t="inlineStr">
        <is>
          <t>Motor (current)</t>
        </is>
      </c>
      <c r="B7" s="28" t="inlineStr">
        <is>
          <t>Bharath 150KV BLDC</t>
        </is>
      </c>
      <c r="C7" s="28" t="inlineStr">
        <is>
          <t>150 KV, 3-5 kg rotor load, IPX7, FOC</t>
        </is>
      </c>
      <c r="D7" s="28" t="inlineStr">
        <is>
          <t>Bharath Components, Gurugram (IoTechWorld)</t>
        </is>
      </c>
      <c r="E7" s="29" t="inlineStr">
        <is>
          <t>https://www.iotechworld.co.in/150kv-bharath-drone-bldc-motor.htm</t>
        </is>
      </c>
      <c r="F7" s="30" t="inlineStr">
        <is>
          <t>—</t>
        </is>
      </c>
      <c r="G7" s="28" t="inlineStr">
        <is>
          <t>no public price -- quote required</t>
        </is>
      </c>
    </row>
    <row r="8" ht="30" customHeight="1">
      <c r="A8" s="31" t="inlineStr">
        <is>
          <t>Motor (market reference)</t>
        </is>
      </c>
      <c r="B8" s="31" t="inlineStr">
        <is>
          <t>T-Motor Antigravity MN5008 KV170</t>
        </is>
      </c>
      <c r="C8" s="31" t="inlineStr">
        <is>
          <t>170 KV, 6-12S, 4.1 kgf max thrust, 128 g</t>
        </is>
      </c>
      <c r="D8" s="31" t="inlineStr">
        <is>
          <t>UAV Marketplace / UAVGarage</t>
        </is>
      </c>
      <c r="E8" s="32" t="inlineStr">
        <is>
          <t>https://www.uavmarketplace.in/products/t-motors-mn5008-kv170/895789000017087249</t>
        </is>
      </c>
      <c r="F8" s="33" t="n">
        <v>9499</v>
      </c>
      <c r="G8" s="31" t="inlineStr">
        <is>
          <t>listed Aug 2026</t>
        </is>
      </c>
    </row>
    <row r="9" ht="30" customHeight="1">
      <c r="A9" s="31" t="inlineStr">
        <is>
          <t>Motor (Indian alternative)</t>
        </is>
      </c>
      <c r="B9" s="31" t="inlineStr">
        <is>
          <t>Reflex Drive RD MI-5008</t>
        </is>
      </c>
      <c r="C9" s="31" t="inlineStr">
        <is>
          <t>6S, KV340 variant listed; made in India</t>
        </is>
      </c>
      <c r="D9" s="31" t="inlineStr">
        <is>
          <t>Robu.in</t>
        </is>
      </c>
      <c r="E9" s="32" t="inlineStr">
        <is>
          <t>https://robu.in/product/rd-mi-5008-6s-kv340-uav-brushless-motor/</t>
        </is>
      </c>
      <c r="F9" s="33" t="n">
        <v>9099</v>
      </c>
      <c r="G9" s="31" t="inlineStr">
        <is>
          <t>listed Aug 2026</t>
        </is>
      </c>
    </row>
    <row r="10" ht="30" customHeight="1">
      <c r="A10" s="28" t="inlineStr">
        <is>
          <t>Propeller (current)</t>
        </is>
      </c>
      <c r="B10" s="28" t="inlineStr">
        <is>
          <t>S R Aerospace CF propeller</t>
        </is>
      </c>
      <c r="C10" s="28" t="inlineStr">
        <is>
          <t>18 x 6.1 in CF folding, CW+CCW, CSIR-NAL certified</t>
        </is>
      </c>
      <c r="D10" s="28" t="inlineStr">
        <is>
          <t>S R Aerospace</t>
        </is>
      </c>
      <c r="E10" s="29" t="inlineStr">
        <is>
          <t>https://www.sraeros.com/drone-propeller.html</t>
        </is>
      </c>
      <c r="F10" s="30" t="inlineStr">
        <is>
          <t>—</t>
        </is>
      </c>
      <c r="G10" s="28" t="inlineStr">
        <is>
          <t>no public price; 18 in folding not confirmed in catalogue</t>
        </is>
      </c>
    </row>
    <row r="11" ht="30" customHeight="1">
      <c r="A11" s="31" t="inlineStr">
        <is>
          <t>Propeller (alternative)</t>
        </is>
      </c>
      <c r="B11" s="31" t="inlineStr">
        <is>
          <t>Tarot T-Series 1855 TL2848</t>
        </is>
      </c>
      <c r="C11" s="31" t="inlineStr">
        <is>
          <t>18 x 5.5 in, 3K Toray CF, CW/CCW pair, 37.3 g each -- NOT FOLDING</t>
        </is>
      </c>
      <c r="D11" s="31" t="inlineStr">
        <is>
          <t>dronecompany.in</t>
        </is>
      </c>
      <c r="E11" s="32" t="inlineStr">
        <is>
          <t>https://dronecompany.in/product/tarot-t-series-1855-carbon-fiber-cw-ccw-propeller-prop-tl2848/</t>
        </is>
      </c>
      <c r="F11" s="33" t="n">
        <v>1399</v>
      </c>
      <c r="G11" s="31" t="inlineStr">
        <is>
          <t>listed Aug 2026, pair</t>
        </is>
      </c>
    </row>
    <row r="12" ht="30" customHeight="1">
      <c r="A12" s="28" t="inlineStr">
        <is>
          <t>Li-ion cell (current)</t>
        </is>
      </c>
      <c r="B12" s="28" t="inlineStr">
        <is>
          <t>GODI 21700 NMC811</t>
        </is>
      </c>
      <c r="C12" s="28" t="inlineStr">
        <is>
          <t>21700 NMC, BIS-certified, made in Hyderabad</t>
        </is>
      </c>
      <c r="D12" s="28" t="inlineStr">
        <is>
          <t>GODI India</t>
        </is>
      </c>
      <c r="E12" s="29" t="inlineStr">
        <is>
          <t>https://evreporter.com/godi-receives-bis-certification-to-sell-li-ion-cells-in-india/</t>
        </is>
      </c>
      <c r="F12" s="30" t="inlineStr">
        <is>
          <t>—</t>
        </is>
      </c>
      <c r="G12" s="28" t="inlineStr">
        <is>
          <t>no public price -- quote required</t>
        </is>
      </c>
    </row>
    <row r="13" ht="30" customHeight="1">
      <c r="A13" s="31" t="inlineStr">
        <is>
          <t>Li-ion cell (alternative)</t>
        </is>
      </c>
      <c r="B13" s="31" t="inlineStr">
        <is>
          <t>Molicel INR-21700-P45B</t>
        </is>
      </c>
      <c r="C13" s="31" t="inlineStr">
        <is>
          <t>4500 mAh, 45 A continuous, 3.6 V, flat top</t>
        </is>
      </c>
      <c r="D13" s="31" t="inlineStr">
        <is>
          <t>IndiaMART (New Delhi)</t>
        </is>
      </c>
      <c r="E13" s="32" t="inlineStr">
        <is>
          <t>https://www.indiamart.com/proddetail/molicel-inr-21700-p45b-high-current-lithium-ion-cell-for-drones-and-evs-2853200798230.html</t>
        </is>
      </c>
      <c r="F13" s="33" t="n">
        <v>560</v>
      </c>
      <c r="G13" s="31" t="inlineStr">
        <is>
          <t>listed Aug 2026</t>
        </is>
      </c>
    </row>
    <row r="14" ht="30" customHeight="1">
      <c r="A14" s="31" t="inlineStr">
        <is>
          <t>Li-ion cell (alternative, low)</t>
        </is>
      </c>
      <c r="B14" s="31" t="inlineStr">
        <is>
          <t>Molicel INR-21700-P45B</t>
        </is>
      </c>
      <c r="C14" s="31" t="inlineStr">
        <is>
          <t>same part, second source</t>
        </is>
      </c>
      <c r="D14" s="31" t="inlineStr">
        <is>
          <t>Robokits India</t>
        </is>
      </c>
      <c r="E14" s="32" t="inlineStr">
        <is>
          <t>https://robokits.co.in/batteries-chargers/li-ion-cells/3.7v-21700-li-ion-cell/molicel-4500mah-10c-lithium-ion-battery-inr21700-p45b</t>
        </is>
      </c>
      <c r="F14" s="33" t="n">
        <v>405</v>
      </c>
      <c r="G14" s="31" t="inlineStr">
        <is>
          <t>listed Aug 2026</t>
        </is>
      </c>
    </row>
    <row r="15" ht="30" customHeight="1">
      <c r="A15" s="28" t="inlineStr">
        <is>
          <t>AI compute (current)</t>
        </is>
      </c>
      <c r="B15" s="28" t="inlineStr">
        <is>
          <t>NVIDIA Jetson Orin Nano Super</t>
        </is>
      </c>
      <c r="C15" s="28" t="inlineStr">
        <is>
          <t>67 TOPS INT8, 8 GB, module on Indian carrier</t>
        </is>
      </c>
      <c r="D15" s="28" t="inlineStr">
        <is>
          <t>Fab.to.Lab / RoboticsDNA</t>
        </is>
      </c>
      <c r="E15" s="29" t="inlineStr">
        <is>
          <t>https://www.fabtolab.com/seeed-nvidia-jetson-orin-nano-super-developer-kit</t>
        </is>
      </c>
      <c r="F15" s="30" t="inlineStr">
        <is>
          <t>—</t>
        </is>
      </c>
      <c r="G15" s="28" t="inlineStr">
        <is>
          <t>dev kit listed; MODULE + carrier is a different SKU</t>
        </is>
      </c>
    </row>
    <row r="16" ht="30" customHeight="1">
      <c r="A16" s="31" t="inlineStr">
        <is>
          <t>AI compute (alternative)</t>
        </is>
      </c>
      <c r="B16" s="31" t="inlineStr">
        <is>
          <t>Raspberry Pi AI HAT+ 26 TOPS (Hailo-8)</t>
        </is>
      </c>
      <c r="C16" s="31" t="inlineStr">
        <is>
          <t>26 TOPS -- MEETS the &gt;=20 TOPS spec, unlike the 13 TOPS 8L variant</t>
        </is>
      </c>
      <c r="D16" s="31" t="inlineStr">
        <is>
          <t>Robu.in</t>
        </is>
      </c>
      <c r="E16" s="32" t="inlineStr">
        <is>
          <t>https://robu.in/product/raspberry-pi-ai-hat-26-tops/</t>
        </is>
      </c>
      <c r="F16" s="33" t="inlineStr">
        <is>
          <t>—</t>
        </is>
      </c>
      <c r="G16" s="31" t="inlineStr">
        <is>
          <t>listed, price not captured -- confirm</t>
        </is>
      </c>
    </row>
    <row r="17" ht="30" customHeight="1">
      <c r="A17" s="31" t="inlineStr">
        <is>
          <t>AI compute host</t>
        </is>
      </c>
      <c r="B17" s="31" t="inlineStr">
        <is>
          <t>Raspberry Pi 5, 8 GB</t>
        </is>
      </c>
      <c r="C17" s="31" t="inlineStr">
        <is>
          <t>BCM2712 quad A76 2.4 GHz, PCIe 2.0 for the HAT</t>
        </is>
      </c>
      <c r="D17" s="31" t="inlineStr">
        <is>
          <t>Robu.in / Robocraze</t>
        </is>
      </c>
      <c r="E17" s="32" t="inlineStr">
        <is>
          <t>https://robu.in/product/raspberry-pi-5-model-8gb/</t>
        </is>
      </c>
      <c r="F17" s="33" t="inlineStr">
        <is>
          <t>—</t>
        </is>
      </c>
      <c r="G17" s="31" t="inlineStr">
        <is>
          <t>listings vary widely -- confirm</t>
        </is>
      </c>
    </row>
    <row r="18" ht="30" customHeight="1">
      <c r="A18" s="28" t="inlineStr">
        <is>
          <t>Camera (current)</t>
        </is>
      </c>
      <c r="B18" s="28" t="inlineStr">
        <is>
          <t>e-con Systems e-CAM121_CUONX</t>
        </is>
      </c>
      <c r="C18" s="28" t="inlineStr">
        <is>
          <t>12 MP Sony IMX412 Starvis, MIPI CSI-2, 4K60, for Orin Nano</t>
        </is>
      </c>
      <c r="D18" s="28" t="inlineStr">
        <is>
          <t>e-con Systems, Chennai</t>
        </is>
      </c>
      <c r="E18" s="29" t="inlineStr">
        <is>
          <t>https://www.e-consystems.com/nvidia-cameras/jetson-orin-nx-cameras/12mp-sony-starvis-imx412-ultra-low-light-camera.asp</t>
        </is>
      </c>
      <c r="F18" s="30" t="inlineStr">
        <is>
          <t>—</t>
        </is>
      </c>
      <c r="G18" s="28" t="inlineStr">
        <is>
          <t>no public price -- quote required</t>
        </is>
      </c>
    </row>
    <row r="19" ht="30" customHeight="1">
      <c r="A19" s="31" t="inlineStr">
        <is>
          <t>Camera (alternative)</t>
        </is>
      </c>
      <c r="B19" s="31" t="inlineStr">
        <is>
          <t>Arducam 12MP IMX477 motorised focus</t>
        </is>
      </c>
      <c r="C19" s="31" t="inlineStr">
        <is>
          <t>12 MP IMX477, CSI-2, M12/CS mount</t>
        </is>
      </c>
      <c r="D19" s="31" t="inlineStr">
        <is>
          <t>IndiaMART (Bengaluru) / Robu.in</t>
        </is>
      </c>
      <c r="E19" s="32" t="inlineStr">
        <is>
          <t>https://robu.in/product/arducam-12mp-imx477-motorized-focus-high-quality-camera-for-raspberry-pi/</t>
        </is>
      </c>
      <c r="F19" s="33" t="n">
        <v>9600</v>
      </c>
      <c r="G19" s="31" t="inlineStr">
        <is>
          <t>listed Aug 2026</t>
        </is>
      </c>
    </row>
    <row r="20" ht="30" customHeight="1">
      <c r="A20" s="28" t="inlineStr">
        <is>
          <t>GNSS (current)</t>
        </is>
      </c>
      <c r="B20" s="28" t="inlineStr">
        <is>
          <t>Teravolt AeroNav-1</t>
        </is>
      </c>
      <c r="C20" s="28" t="inlineStr">
        <is>
          <t>NavIC L1+L5 dual band, Bosch BMM350 magnetometer, ArduPilot driver</t>
        </is>
      </c>
      <c r="D20" s="28" t="inlineStr">
        <is>
          <t>Teravolt Labs</t>
        </is>
      </c>
      <c r="E20" s="29" t="inlineStr">
        <is>
          <t>https://www.teravolt.in/product-page/aeronav-1-dual-band-gnss</t>
        </is>
      </c>
      <c r="F20" s="30" t="inlineStr">
        <is>
          <t>—</t>
        </is>
      </c>
      <c r="G20" s="28" t="inlineStr">
        <is>
          <t>RTK / moving-baseline NOT claimed on the product page</t>
        </is>
      </c>
    </row>
    <row r="21" ht="30" customHeight="1">
      <c r="A21" s="31" t="inlineStr">
        <is>
          <t>Safety radio (compliant part)</t>
        </is>
      </c>
      <c r="B21" s="31" t="inlineStr">
        <is>
          <t>RFDesign RFD 868ux-IND</t>
        </is>
      </c>
      <c r="C21" s="31" t="inlineStr">
        <is>
          <t>865-870 MHz, the India-compliant SiK variant</t>
        </is>
      </c>
      <c r="D21" s="31" t="inlineStr">
        <is>
          <t>XBOOM India</t>
        </is>
      </c>
      <c r="E21" s="32" t="inlineStr">
        <is>
          <t>https://www.xboom.in/shop/drones/drone-components/transmission/rfd-868ux-ind-long-range-modem-bundle/</t>
        </is>
      </c>
      <c r="F21" s="33" t="inlineStr">
        <is>
          <t>—</t>
        </is>
      </c>
      <c r="G21" s="31" t="inlineStr">
        <is>
          <t>India-band variant -- price to confirm</t>
        </is>
      </c>
    </row>
    <row r="22" ht="30" customHeight="1">
      <c r="A22" s="31" t="inlineStr">
        <is>
          <t>Safety radio (price anchor)</t>
        </is>
      </c>
      <c r="B22" s="31" t="inlineStr">
        <is>
          <t>RFDesign RFD868x, 32-bit ARM</t>
        </is>
      </c>
      <c r="C22" s="31" t="inlineStr">
        <is>
          <t>865-870 MHz, 1 W, 500 kbit/s air rate, AES</t>
        </is>
      </c>
      <c r="D22" s="31" t="inlineStr">
        <is>
          <t>Robokits India</t>
        </is>
      </c>
      <c r="E22" s="32" t="inlineStr">
        <is>
          <t>https://robokits.co.in/multirotor-spare-parts/fpv-video-telemetry-camera/rfd868x-32-bit-arm-ultra-long-range-telemetry-modem-original</t>
        </is>
      </c>
      <c r="F22" s="33" t="n">
        <v>38709</v>
      </c>
      <c r="G22" s="31" t="inlineStr">
        <is>
          <t>listed Aug 2026 -- BUNDLE of 2 (air + ground)</t>
        </is>
      </c>
    </row>
    <row r="23" ht="30" customHeight="1">
      <c r="A23" s="28" t="inlineStr">
        <is>
          <t>RC receiver (current)</t>
        </is>
      </c>
      <c r="B23" s="28" t="inlineStr">
        <is>
          <t>Zerodrag Nexus1 ELRS</t>
        </is>
      </c>
      <c r="C23" s="28" t="inlineStr">
        <is>
          <t>ExpressLRS 2.4 GHz diversity receiver, made in India</t>
        </is>
      </c>
      <c r="D23" s="28" t="inlineStr">
        <is>
          <t>Zerodrag</t>
        </is>
      </c>
      <c r="E23" s="29" t="inlineStr">
        <is>
          <t>https://zerodrag.in/products/express-lrs-receiver</t>
        </is>
      </c>
      <c r="F23" s="30" t="inlineStr">
        <is>
          <t>—</t>
        </is>
      </c>
      <c r="G23" s="28" t="inlineStr">
        <is>
          <t>no public price captured</t>
        </is>
      </c>
    </row>
    <row r="24" ht="30" customHeight="1">
      <c r="A24" s="31" t="inlineStr">
        <is>
          <t>VEGA co-processor</t>
        </is>
      </c>
      <c r="B24" s="31" t="inlineStr">
        <is>
          <t>C-DAC ARIES v3.0 / THEJAS32</t>
        </is>
      </c>
      <c r="C24" s="31" t="inlineStr">
        <is>
          <t>VEGA ET1031, RV32IM, 100 MHz, 256 KB SRAM, 2 MB flash -- NOT an AI part</t>
        </is>
      </c>
      <c r="D24" s="31" t="inlineStr">
        <is>
          <t>C-DAC (MeitY)</t>
        </is>
      </c>
      <c r="E24" s="32" t="inlineStr">
        <is>
          <t>https://vegaprocessors.in/</t>
        </is>
      </c>
      <c r="F24" s="33" t="n">
        <v>0</v>
      </c>
      <c r="G24" s="31" t="inlineStr">
        <is>
          <t>free kits to top-100 teams</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24" customWidth="1" min="2" max="2"/>
    <col width="11" customWidth="1" min="3" max="3"/>
    <col width="11" customWidth="1" min="4" max="4"/>
    <col width="6" customWidth="1" min="5" max="5"/>
    <col width="12" customWidth="1" min="6" max="6"/>
    <col width="15" customWidth="1" min="7" max="7"/>
    <col width="78" customWidth="1" min="8" max="8"/>
  </cols>
  <sheetData>
    <row r="1">
      <c r="A1" s="1" t="inlineStr">
        <is>
          <t>03 — REPRICING: WHAT MOVES, AND WHICH WAY</t>
        </is>
      </c>
    </row>
    <row r="2">
      <c r="A2" s="6" t="inlineStr">
        <is>
          <t>Only lines with a researched market price appear here. Lines with no listing are left alone rather than given an invented saving.</t>
        </is>
      </c>
    </row>
    <row r="4">
      <c r="A4" s="27" t="inlineStr">
        <is>
          <t>Line</t>
        </is>
      </c>
      <c r="B4" s="27" t="inlineStr">
        <is>
          <t>Component</t>
        </is>
      </c>
      <c r="C4" s="27" t="inlineStr">
        <is>
          <t>BOM ₹</t>
        </is>
      </c>
      <c r="D4" s="27" t="inlineStr">
        <is>
          <t>Market ₹</t>
        </is>
      </c>
      <c r="E4" s="27" t="inlineStr">
        <is>
          <t>Qty</t>
        </is>
      </c>
      <c r="F4" s="27" t="inlineStr">
        <is>
          <t>Δ ext ₹</t>
        </is>
      </c>
      <c r="G4" s="27" t="inlineStr">
        <is>
          <t>Direction</t>
        </is>
      </c>
      <c r="H4" s="27" t="inlineStr">
        <is>
          <t>Basis</t>
        </is>
      </c>
    </row>
    <row r="5" ht="44" customHeight="1">
      <c r="A5" s="34" t="n">
        <v>33</v>
      </c>
      <c r="B5" s="28" t="inlineStr">
        <is>
          <t>AI compute module</t>
        </is>
      </c>
      <c r="C5" s="35" t="n">
        <v>38000</v>
      </c>
      <c r="D5" s="35" t="n">
        <v>20000</v>
      </c>
      <c r="E5" s="34" t="n">
        <v>1</v>
      </c>
      <c r="F5" s="35" t="n">
        <v>18000</v>
      </c>
      <c r="G5" s="34" t="inlineStr">
        <is>
          <t>saving</t>
        </is>
      </c>
      <c r="H5" s="28" t="inlineStr">
        <is>
          <t>Pi 5 8GB + AI HAT+ 26 TOPS. The 26 TOPS Hailo-8 variant MEETS the &gt;=20 TOPS spec, unlike the 13 TOPS 8L. Price is EST -- both listings found, neither price captured. Benchmark before committing.</t>
        </is>
      </c>
    </row>
    <row r="6" ht="44" customHeight="1">
      <c r="A6" s="36" t="n">
        <v>41</v>
      </c>
      <c r="B6" s="37" t="inlineStr">
        <is>
          <t>Sub-GHz safety radio</t>
        </is>
      </c>
      <c r="C6" s="38" t="n">
        <v>7500</v>
      </c>
      <c r="D6" s="38" t="n">
        <v>19355</v>
      </c>
      <c r="E6" s="36" t="n">
        <v>1</v>
      </c>
      <c r="F6" s="38" t="n">
        <v>-11855</v>
      </c>
      <c r="G6" s="36" t="inlineStr">
        <is>
          <t>UNDER-PRICED</t>
        </is>
      </c>
      <c r="H6" s="37" t="inlineStr">
        <is>
          <t>SERIOUSLY UNDERPRICED. The India-compliant gold standard is the RFD 868ux-IND; RFD868x bundles list at 38,709 for two units (air + ground), so ~19,355 for the airborne unit alone. Exposure +11,855.</t>
        </is>
      </c>
    </row>
    <row r="7" ht="44" customHeight="1">
      <c r="A7" s="36" t="n">
        <v>13</v>
      </c>
      <c r="B7" s="37" t="inlineStr">
        <is>
          <t>Motor</t>
        </is>
      </c>
      <c r="C7" s="38" t="n">
        <v>7000</v>
      </c>
      <c r="D7" s="38" t="n">
        <v>9099</v>
      </c>
      <c r="E7" s="36" t="n">
        <v>4</v>
      </c>
      <c r="F7" s="38" t="n">
        <v>-8396</v>
      </c>
      <c r="G7" s="36" t="inlineStr">
        <is>
          <t>UNDER-PRICED</t>
        </is>
      </c>
      <c r="H7" s="37" t="inlineStr">
        <is>
          <t>THE BOM IS CHEAPER THAN THE MARKET. Nearest listed equivalents are 9,099 (Indian RD MI-5008) and 9,499 (T-Motor MN5008). The 7,000 is unpublished and may be optimistic. Exposure +2,099/motor.</t>
        </is>
      </c>
    </row>
    <row r="8" ht="44" customHeight="1">
      <c r="A8" s="34" t="n">
        <v>35</v>
      </c>
      <c r="B8" s="28" t="inlineStr">
        <is>
          <t>Camera module</t>
        </is>
      </c>
      <c r="C8" s="35" t="n">
        <v>14000</v>
      </c>
      <c r="D8" s="35" t="n">
        <v>9600</v>
      </c>
      <c r="E8" s="34" t="n">
        <v>1</v>
      </c>
      <c r="F8" s="35" t="n">
        <v>4400</v>
      </c>
      <c r="G8" s="34" t="inlineStr">
        <is>
          <t>saving</t>
        </is>
      </c>
      <c r="H8" s="28" t="inlineStr">
        <is>
          <t>Arducam IMX477 at 9,600 listed. Loses e-con's ISP tuning and Indian content; GSD and low-light must be re-measured.</t>
        </is>
      </c>
    </row>
    <row r="9" ht="44" customHeight="1">
      <c r="A9" s="34" t="n">
        <v>26</v>
      </c>
      <c r="B9" s="28" t="inlineStr">
        <is>
          <t>Flight controller</t>
        </is>
      </c>
      <c r="C9" s="35" t="n">
        <v>26000</v>
      </c>
      <c r="D9" s="35" t="n">
        <v>22600</v>
      </c>
      <c r="E9" s="34" t="n">
        <v>1</v>
      </c>
      <c r="F9" s="35" t="n">
        <v>3400</v>
      </c>
      <c r="G9" s="34" t="inlineStr">
        <is>
          <t>saving</t>
        </is>
      </c>
      <c r="H9" s="28" t="inlineStr">
        <is>
          <t>Pixhawk 6C Mini 22,600 listed. RECOMMEND REJECTING -- 3,400 is not worth forfeiting a Made-in-India autopilot.</t>
        </is>
      </c>
    </row>
    <row r="10" ht="44" customHeight="1">
      <c r="A10" s="34" t="n">
        <v>17</v>
      </c>
      <c r="B10" s="28" t="inlineStr">
        <is>
          <t>Li-ion cell</t>
        </is>
      </c>
      <c r="C10" s="35" t="n">
        <v>700</v>
      </c>
      <c r="D10" s="35" t="n">
        <v>560</v>
      </c>
      <c r="E10" s="34" t="n">
        <v>18</v>
      </c>
      <c r="F10" s="35" t="n">
        <v>2520</v>
      </c>
      <c r="G10" s="34" t="inlineStr">
        <is>
          <t>saving</t>
        </is>
      </c>
      <c r="H10" s="28" t="inlineStr">
        <is>
          <t>Molicel P45B listed 560 (IndiaMART) and 405 (Robokits). Taking the conservative 560. Destroys the largest Indian-content line in the aircraft.</t>
        </is>
      </c>
    </row>
    <row r="11" ht="44" customHeight="1">
      <c r="A11" s="34" t="n">
        <v>15</v>
      </c>
      <c r="B11" s="28" t="inlineStr">
        <is>
          <t>Propeller pair</t>
        </is>
      </c>
      <c r="C11" s="35" t="n">
        <v>2200</v>
      </c>
      <c r="D11" s="35" t="n">
        <v>1399</v>
      </c>
      <c r="E11" s="34" t="n">
        <v>2</v>
      </c>
      <c r="F11" s="35" t="n">
        <v>1602</v>
      </c>
      <c r="G11" s="34" t="inlineStr">
        <is>
          <t>saving</t>
        </is>
      </c>
      <c r="H11" s="28" t="inlineStr">
        <is>
          <t>Tarot TL2848 at 1,399/pair against 2,200. BUT it is NOT a folding prop and carries no CSIR-NAL certification. Saving is real; the two losses are real too.</t>
        </is>
      </c>
    </row>
    <row r="12">
      <c r="C12" s="39" t="n"/>
      <c r="D12" s="39" t="n"/>
      <c r="F12" s="39" t="n"/>
    </row>
    <row r="13">
      <c r="B13" s="3" t="inlineStr">
        <is>
          <t>Total verified savings</t>
        </is>
      </c>
      <c r="C13" s="39" t="n"/>
      <c r="D13" s="39" t="n"/>
      <c r="F13" s="40" t="n">
        <v>29922</v>
      </c>
    </row>
    <row r="14">
      <c r="B14" s="3" t="inlineStr">
        <is>
          <t>Total verified under-pricing</t>
        </is>
      </c>
      <c r="C14" s="39" t="n"/>
      <c r="D14" s="39" t="n"/>
      <c r="F14" s="40" t="n">
        <v>-20251</v>
      </c>
    </row>
    <row r="15" ht="32" customHeight="1">
      <c r="A15" s="23" t="n"/>
      <c r="B15" s="24" t="inlineStr">
        <is>
          <t>NET MOVEMENT PER AIRCRAFT</t>
        </is>
      </c>
      <c r="C15" s="41" t="n"/>
      <c r="D15" s="41" t="n"/>
      <c r="E15" s="23" t="n"/>
      <c r="F15" s="42" t="n">
        <v>9671</v>
      </c>
      <c r="G15" s="23" t="n"/>
      <c r="H15" s="43" t="inlineStr">
        <is>
          <t>Against a current cost of ₹2,64,400. A cost-reduction pass on this BOM does not yield a cheaper aircraft — it yields a more accurate estimate of the same 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 customWidth="1" min="1" max="1"/>
    <col width="42" customWidth="1" min="2" max="2"/>
    <col width="20" customWidth="1" min="3" max="3"/>
    <col width="13" customWidth="1" min="4" max="4"/>
    <col width="84" customWidth="1" min="5" max="5"/>
    <col width="16" customWidth="1" min="6" max="6"/>
    <col width="16" customWidth="1" min="7" max="7"/>
  </cols>
  <sheetData>
    <row r="1">
      <c r="A1" s="1" t="inlineStr">
        <is>
          <t>04 — DECISIONS REQUIRED</t>
        </is>
      </c>
    </row>
    <row r="2">
      <c r="A2" s="6" t="inlineStr">
        <is>
          <t>Each carries a recommendation. Those marked SCORING or SAFETY are not cost decisions and should not be settled on cost grounds.</t>
        </is>
      </c>
    </row>
    <row r="4">
      <c r="A4" s="27" t="inlineStr">
        <is>
          <t>ID</t>
        </is>
      </c>
      <c r="B4" s="27" t="inlineStr">
        <is>
          <t>Decision</t>
        </is>
      </c>
      <c r="C4" s="27" t="inlineStr">
        <is>
          <t>Type</t>
        </is>
      </c>
      <c r="D4" s="27" t="inlineStr">
        <is>
          <t>INR at stake</t>
        </is>
      </c>
      <c r="E4" s="27" t="inlineStr">
        <is>
          <t>Recommendation</t>
        </is>
      </c>
      <c r="F4" s="27" t="inlineStr">
        <is>
          <t>Decision taken</t>
        </is>
      </c>
      <c r="G4" s="27" t="inlineStr">
        <is>
          <t>Owner / date</t>
        </is>
      </c>
    </row>
    <row r="5" ht="66" customHeight="1">
      <c r="A5" s="44" t="inlineStr">
        <is>
          <t>D1</t>
        </is>
      </c>
      <c r="B5" s="45" t="inlineStr">
        <is>
          <t>Drop the RTK GNSS pair for non-RTK modules?</t>
        </is>
      </c>
      <c r="C5" s="46" t="inlineStr">
        <is>
          <t>SCORING</t>
        </is>
      </c>
      <c r="D5" s="47" t="n">
        <v>35000</v>
      </c>
      <c r="E5" s="45" t="inlineStr">
        <is>
          <t>REJECT. No cheaper RTK-capable equivalent exists, and dropping RTK moves geotag from ~1.3 m to ~3.1 m — roughly 125 of 200 points. Separately: the AeroNav-1 product page does not claim RTK or moving-baseline, so confirm the capability the design already assumes.</t>
        </is>
      </c>
      <c r="F5" s="48" t="n"/>
      <c r="G5" s="48" t="n"/>
    </row>
    <row r="6" ht="66" customHeight="1">
      <c r="A6" s="44" t="inlineStr">
        <is>
          <t>D2</t>
        </is>
      </c>
      <c r="B6" s="45" t="inlineStr">
        <is>
          <t>Recovery parachute — no Indian supplier, nearest option undersized</t>
        </is>
      </c>
      <c r="C6" s="46" t="inlineStr">
        <is>
          <t>SAFETY / COMPLIANCE</t>
        </is>
      </c>
      <c r="D6" s="47" t="n">
        <v>12000</v>
      </c>
      <c r="E6" s="45" t="inlineStr">
        <is>
          <t>RESOLVE, EXPECT TO PAY MORE. SYS-41 requires it. Nearest match is imported and rated 6.2 kg against a 6.36 kg MTOW. A correctly sized part costs more, not less.</t>
        </is>
      </c>
      <c r="F6" s="48" t="n"/>
      <c r="G6" s="48" t="n"/>
    </row>
    <row r="7" ht="66" customHeight="1">
      <c r="A7" s="49" t="inlineStr">
        <is>
          <t>D3</t>
        </is>
      </c>
      <c r="B7" s="31" t="inlineStr">
        <is>
          <t>Substitute AI compute for Pi 5 + AI HAT+ 26 TOPS?</t>
        </is>
      </c>
      <c r="C7" s="50" t="inlineStr">
        <is>
          <t>TECHNICAL RISK</t>
        </is>
      </c>
      <c r="D7" s="51" t="n">
        <v>18000</v>
      </c>
      <c r="E7" s="31" t="inlineStr">
        <is>
          <t>STRONGEST CANDIDATE — BENCHMARK FIRST. The 26 TOPS Hailo-8 variant meets the ≥20 TOPS spec, unlike the 13 TOPS 8L. Largest single saving available. Confirm 24 inferences/s at 640×640 before committing.</t>
        </is>
      </c>
      <c r="F7" s="48" t="n"/>
      <c r="G7" s="48" t="n"/>
    </row>
    <row r="8" ht="66" customHeight="1">
      <c r="A8" s="44" t="inlineStr">
        <is>
          <t>D4</t>
        </is>
      </c>
      <c r="B8" s="45" t="inlineStr">
        <is>
          <t>Mesh node and safety radio — neither is sourced, and the radio is underpriced</t>
        </is>
      </c>
      <c r="C8" s="46" t="inlineStr">
        <is>
          <t>SOURCING / BUDGET</t>
        </is>
      </c>
      <c r="D8" s="47" t="n">
        <v>-11855</v>
      </c>
      <c r="E8" s="45" t="inlineStr">
        <is>
          <t>RESELECT AND REPRICE UPWARD. The named supplier's module is 928 MHz, outside the Indian delicensed band and wrong for the mesh spec. The compliant radio is the RFD 868ux-IND, implying ~₹19,355 against ₹7,500 carried. This is a budget increase, not a saving.</t>
        </is>
      </c>
      <c r="F8" s="48" t="n"/>
      <c r="G8" s="48" t="n"/>
    </row>
    <row r="9" ht="66" customHeight="1">
      <c r="A9" s="44" t="inlineStr">
        <is>
          <t>D5</t>
        </is>
      </c>
      <c r="B9" s="45" t="inlineStr">
        <is>
          <t>Substitute the Indian flight controller for a Pixhawk 6C Mini?</t>
        </is>
      </c>
      <c r="C9" s="46" t="inlineStr">
        <is>
          <t>INDIGENISATION</t>
        </is>
      </c>
      <c r="D9" s="47" t="n">
        <v>3400</v>
      </c>
      <c r="E9" s="45" t="inlineStr">
        <is>
          <t>REJECT. ₹3,400 against forfeiting a Made-in-India autopilot, in front of an audience that specifically values it.</t>
        </is>
      </c>
      <c r="F9" s="48" t="n"/>
      <c r="G9" s="48" t="n"/>
    </row>
    <row r="10" ht="66" customHeight="1">
      <c r="A10" s="44" t="inlineStr">
        <is>
          <t>D6</t>
        </is>
      </c>
      <c r="B10" s="45" t="inlineStr">
        <is>
          <t>Obtain quotes for the four unpriced lines</t>
        </is>
      </c>
      <c r="C10" s="46" t="inlineStr">
        <is>
          <t>COMMERCIAL</t>
        </is>
      </c>
      <c r="D10" s="47" t="inlineStr">
        <is>
          <t>—</t>
        </is>
      </c>
      <c r="E10" s="45" t="inlineStr">
        <is>
          <t>MANDATORY. The flight controller, motor, cells and camera have NO public price and are four of the six largest lines. The motor is already known to sit below market. Until these are quoted, ₹2,64,400 is itself an estimate.</t>
        </is>
      </c>
      <c r="F10" s="48" t="n"/>
      <c r="G10" s="48" t="n"/>
    </row>
    <row r="11" ht="66" customHeight="1">
      <c r="A11" s="44" t="inlineStr">
        <is>
          <t>D7</t>
        </is>
      </c>
      <c r="B11" s="45" t="inlineStr">
        <is>
          <t>Re-run the sizing model on measured masses before any substitution</t>
        </is>
      </c>
      <c r="C11" s="46" t="inlineStr">
        <is>
          <t>TECHNICAL</t>
        </is>
      </c>
      <c r="D11" s="47" t="inlineStr">
        <is>
          <t>—</t>
        </is>
      </c>
      <c r="E11" s="45" t="inlineStr">
        <is>
          <t>MANDATORY IF SUBSTITUTING. MTOW, endurance, thrust-to-weight and the 25 kg fleet margin are not validated for any part changed here.</t>
        </is>
      </c>
      <c r="F11" s="48" t="n"/>
      <c r="G11" s="4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2" customWidth="1" min="1" max="1"/>
    <col width="40" customWidth="1" min="2" max="2"/>
    <col width="16" customWidth="1" min="3" max="3"/>
    <col width="11" customWidth="1" min="4" max="4"/>
    <col width="76" customWidth="1" min="5" max="5"/>
  </cols>
  <sheetData>
    <row r="1">
      <c r="A1" s="1" t="inlineStr">
        <is>
          <t>05 — INDIGENISATION IMPACT OF THE SUBSTITUTIONS</t>
        </is>
      </c>
    </row>
    <row r="2">
      <c r="A2" s="6" t="inlineStr">
        <is>
          <t>Indian content is a scored differentiator with MeitY and the Drone Federation of India as the audience, and it is what these substitutions cost most.</t>
        </is>
      </c>
    </row>
    <row r="4">
      <c r="A4" s="27" t="inlineStr">
        <is>
          <t>Line</t>
        </is>
      </c>
      <c r="B4" s="27" t="inlineStr">
        <is>
          <t>Substitution</t>
        </is>
      </c>
      <c r="C4" s="27" t="inlineStr">
        <is>
          <t>Indian content</t>
        </is>
      </c>
      <c r="D4" s="27" t="inlineStr">
        <is>
          <t>₹ saved</t>
        </is>
      </c>
      <c r="E4" s="27" t="inlineStr">
        <is>
          <t>Comment</t>
        </is>
      </c>
    </row>
    <row r="5" ht="32" customHeight="1">
      <c r="A5" s="31" t="inlineStr">
        <is>
          <t>17 Li-ion cell</t>
        </is>
      </c>
      <c r="B5" s="31" t="inlineStr">
        <is>
          <t>GODI (BIS-certified) → Molicel P45B</t>
        </is>
      </c>
      <c r="C5" s="50" t="inlineStr">
        <is>
          <t>40% → 0%</t>
        </is>
      </c>
      <c r="D5" s="52" t="n">
        <v>2520</v>
      </c>
      <c r="E5" s="31" t="inlineStr">
        <is>
          <t>Largest Indian-content line in the aircraft, traded for ₹2,520. The worst value of any substitution here.</t>
        </is>
      </c>
    </row>
    <row r="6" ht="32" customHeight="1">
      <c r="A6" s="31" t="inlineStr">
        <is>
          <t>26 Flight controller</t>
        </is>
      </c>
      <c r="B6" s="31" t="inlineStr">
        <is>
          <t>Agam V6X-RT → Pixhawk 6C Mini</t>
        </is>
      </c>
      <c r="C6" s="50" t="inlineStr">
        <is>
          <t>60% → 10%</t>
        </is>
      </c>
      <c r="D6" s="52" t="n">
        <v>3400</v>
      </c>
      <c r="E6" s="31" t="inlineStr">
        <is>
          <t>Recommended for rejection. See D5.</t>
        </is>
      </c>
    </row>
    <row r="7" ht="32" customHeight="1">
      <c r="A7" s="31" t="inlineStr">
        <is>
          <t>35 Camera</t>
        </is>
      </c>
      <c r="B7" s="31" t="inlineStr">
        <is>
          <t>e-con Systems → Arducam IMX477</t>
        </is>
      </c>
      <c r="C7" s="50" t="inlineStr">
        <is>
          <t>60% → 10%</t>
        </is>
      </c>
      <c r="D7" s="52" t="n">
        <v>4400</v>
      </c>
      <c r="E7" s="31" t="inlineStr">
        <is>
          <t>e-con is a world-class Indian embedded-vision house; a visible loss for a modest sum.</t>
        </is>
      </c>
    </row>
    <row r="8" ht="32" customHeight="1">
      <c r="A8" s="31" t="inlineStr">
        <is>
          <t>15 Propeller</t>
        </is>
      </c>
      <c r="B8" s="31" t="inlineStr">
        <is>
          <t>S R Aerospace (CSIR-NAL) → Tarot</t>
        </is>
      </c>
      <c r="C8" s="50" t="inlineStr">
        <is>
          <t>70% → 30%</t>
        </is>
      </c>
      <c r="D8" s="52" t="n">
        <v>1602</v>
      </c>
      <c r="E8" s="31" t="inlineStr">
        <is>
          <t>Also loses folding and a certification that is hard to claim otherwise.</t>
        </is>
      </c>
    </row>
    <row r="10">
      <c r="A10" s="3" t="inlineStr">
        <is>
          <t>The trade is poor, and the schedule argument makes it worse.</t>
        </is>
      </c>
    </row>
    <row r="11">
      <c r="A11" t="inlineStr"/>
    </row>
    <row r="12">
      <c r="A12" t="inlineStr">
        <is>
          <t>Indian sourcing was never argued mainly on price — it was argued on lead time. The current BOM's</t>
        </is>
      </c>
    </row>
    <row r="13">
      <c r="A13" t="inlineStr">
        <is>
          <t>own note puts imports at 4–6 weeks against 2–3 weeks domestic, inside a programme whose binding</t>
        </is>
      </c>
    </row>
    <row r="14">
      <c r="A14" t="inlineStr">
        <is>
          <t>constraint is an 8-week flight-test window. Every substitution above moves a line from the short</t>
        </is>
      </c>
    </row>
    <row r="15">
      <c r="A15" t="inlineStr">
        <is>
          <t>column to the long one.</t>
        </is>
      </c>
    </row>
    <row r="16">
      <c r="A16" t="inlineStr"/>
    </row>
    <row r="17">
      <c r="A17" t="inlineStr">
        <is>
          <t>Combined, the four substitutions above save ₹11,922 per aircraft — and the safety-radio repricing</t>
        </is>
      </c>
    </row>
    <row r="18">
      <c r="A18" t="inlineStr">
        <is>
          <t>alone (D4) is a ₹11,855 increase. The indigenisation loss buys almost exactly nothing.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0" customWidth="1" min="1" max="1"/>
    <col width="66" customWidth="1" min="2" max="2"/>
    <col width="6" customWidth="1" min="3" max="3"/>
    <col width="11" customWidth="1" min="4" max="4"/>
    <col width="11" customWidth="1" min="5" max="5"/>
    <col width="8" customWidth="1" min="6" max="6"/>
  </cols>
  <sheetData>
    <row r="1">
      <c r="A1" s="1" t="inlineStr">
        <is>
          <t>06 — WHAT ₹40,000 ACTUALLY BUYS</t>
        </is>
      </c>
    </row>
    <row r="2">
      <c r="A2" s="6" t="inlineStr">
        <is>
          <t>Specified so the answer is checkable rather than asserted. It is not a cheaper RescueSwarm; it is a different and much smaller aircraft.</t>
        </is>
      </c>
    </row>
    <row r="4">
      <c r="A4" s="53" t="inlineStr">
        <is>
          <t>Item</t>
        </is>
      </c>
      <c r="B4" s="53" t="inlineStr">
        <is>
          <t>Part class</t>
        </is>
      </c>
      <c r="C4" s="53" t="inlineStr">
        <is>
          <t>Qty</t>
        </is>
      </c>
      <c r="D4" s="53" t="inlineStr">
        <is>
          <t>Unit ₹</t>
        </is>
      </c>
      <c r="E4" s="53" t="inlineStr">
        <is>
          <t>Ext ₹</t>
        </is>
      </c>
      <c r="F4" s="53" t="inlineStr">
        <is>
          <t>Basis</t>
        </is>
      </c>
    </row>
    <row r="5">
      <c r="A5" s="54" t="inlineStr">
        <is>
          <t>Frame</t>
        </is>
      </c>
      <c r="B5" s="31" t="inlineStr">
        <is>
          <t>450 mm CF/glass quad kit</t>
        </is>
      </c>
      <c r="C5" s="50" t="n">
        <v>1</v>
      </c>
      <c r="D5" s="52" t="n">
        <v>2500</v>
      </c>
      <c r="E5" s="52">
        <f>C5*D5</f>
        <v/>
      </c>
      <c r="F5" s="50" t="inlineStr">
        <is>
          <t>EST</t>
        </is>
      </c>
    </row>
    <row r="6">
      <c r="A6" s="54" t="inlineStr">
        <is>
          <t>Motor</t>
        </is>
      </c>
      <c r="B6" s="31" t="inlineStr">
        <is>
          <t>2216-class 900–950 KV</t>
        </is>
      </c>
      <c r="C6" s="50" t="n">
        <v>4</v>
      </c>
      <c r="D6" s="52" t="n">
        <v>600</v>
      </c>
      <c r="E6" s="52">
        <f>C6*D6</f>
        <v/>
      </c>
      <c r="F6" s="50" t="inlineStr">
        <is>
          <t>EST</t>
        </is>
      </c>
    </row>
    <row r="7">
      <c r="A7" s="54" t="inlineStr">
        <is>
          <t>ESC</t>
        </is>
      </c>
      <c r="B7" s="31" t="inlineStr">
        <is>
          <t>4-in-1 30 A</t>
        </is>
      </c>
      <c r="C7" s="50" t="n">
        <v>1</v>
      </c>
      <c r="D7" s="52" t="n">
        <v>2500</v>
      </c>
      <c r="E7" s="52">
        <f>C7*D7</f>
        <v/>
      </c>
      <c r="F7" s="50" t="inlineStr">
        <is>
          <t>EST</t>
        </is>
      </c>
    </row>
    <row r="8">
      <c r="A8" s="54" t="inlineStr">
        <is>
          <t>Propeller</t>
        </is>
      </c>
      <c r="B8" s="31" t="inlineStr">
        <is>
          <t>10 in plastic, CW/CCW</t>
        </is>
      </c>
      <c r="C8" s="50" t="n">
        <v>2</v>
      </c>
      <c r="D8" s="52" t="n">
        <v>150</v>
      </c>
      <c r="E8" s="52">
        <f>C8*D8</f>
        <v/>
      </c>
      <c r="F8" s="50" t="inlineStr">
        <is>
          <t>EST</t>
        </is>
      </c>
    </row>
    <row r="9">
      <c r="A9" s="54" t="inlineStr">
        <is>
          <t>Flight controller</t>
        </is>
      </c>
      <c r="B9" s="31" t="inlineStr">
        <is>
          <t>F405-class, ArduPilot-capable</t>
        </is>
      </c>
      <c r="C9" s="50" t="n">
        <v>1</v>
      </c>
      <c r="D9" s="52" t="n">
        <v>4500</v>
      </c>
      <c r="E9" s="52">
        <f>C9*D9</f>
        <v/>
      </c>
      <c r="F9" s="50" t="inlineStr">
        <is>
          <t>EST</t>
        </is>
      </c>
    </row>
    <row r="10">
      <c r="A10" s="54" t="inlineStr">
        <is>
          <t>GNSS</t>
        </is>
      </c>
      <c r="B10" s="31" t="inlineStr">
        <is>
          <t>M10, non-RTK</t>
        </is>
      </c>
      <c r="C10" s="50" t="n">
        <v>1</v>
      </c>
      <c r="D10" s="52" t="n">
        <v>2500</v>
      </c>
      <c r="E10" s="52">
        <f>C10*D10</f>
        <v/>
      </c>
      <c r="F10" s="50" t="inlineStr">
        <is>
          <t>EST</t>
        </is>
      </c>
    </row>
    <row r="11">
      <c r="A11" s="54" t="inlineStr">
        <is>
          <t>Battery</t>
        </is>
      </c>
      <c r="B11" s="31" t="inlineStr">
        <is>
          <t>4S 5200 mAh LiPo</t>
        </is>
      </c>
      <c r="C11" s="50" t="n">
        <v>2</v>
      </c>
      <c r="D11" s="52" t="n">
        <v>3500</v>
      </c>
      <c r="E11" s="52">
        <f>C11*D11</f>
        <v/>
      </c>
      <c r="F11" s="50" t="inlineStr">
        <is>
          <t>EST</t>
        </is>
      </c>
    </row>
    <row r="12">
      <c r="A12" s="54" t="inlineStr">
        <is>
          <t>RC receiver</t>
        </is>
      </c>
      <c r="B12" s="31" t="inlineStr">
        <is>
          <t>ELRS 2.4 GHz</t>
        </is>
      </c>
      <c r="C12" s="50" t="n">
        <v>1</v>
      </c>
      <c r="D12" s="52" t="n">
        <v>1200</v>
      </c>
      <c r="E12" s="52">
        <f>C12*D12</f>
        <v/>
      </c>
      <c r="F12" s="50" t="inlineStr">
        <is>
          <t>EST</t>
        </is>
      </c>
    </row>
    <row r="13">
      <c r="A13" s="54" t="inlineStr">
        <is>
          <t>Telemetry radio</t>
        </is>
      </c>
      <c r="B13" s="31" t="inlineStr">
        <is>
          <t>915 MHz pair</t>
        </is>
      </c>
      <c r="C13" s="50" t="n">
        <v>1</v>
      </c>
      <c r="D13" s="52" t="n">
        <v>2000</v>
      </c>
      <c r="E13" s="52">
        <f>C13*D13</f>
        <v/>
      </c>
      <c r="F13" s="50" t="inlineStr">
        <is>
          <t>EST</t>
        </is>
      </c>
    </row>
    <row r="14">
      <c r="A14" s="54" t="inlineStr">
        <is>
          <t>Camera + compute</t>
        </is>
      </c>
      <c r="B14" s="31" t="inlineStr">
        <is>
          <t>Pi Zero 2 W + CSI camera — streaming only, NO inference</t>
        </is>
      </c>
      <c r="C14" s="50" t="n">
        <v>1</v>
      </c>
      <c r="D14" s="52" t="n">
        <v>4500</v>
      </c>
      <c r="E14" s="52">
        <f>C14*D14</f>
        <v/>
      </c>
      <c r="F14" s="50" t="inlineStr">
        <is>
          <t>EST</t>
        </is>
      </c>
    </row>
    <row r="15">
      <c r="A15" s="54" t="inlineStr">
        <is>
          <t>Release servo</t>
        </is>
      </c>
      <c r="B15" s="31" t="inlineStr">
        <is>
          <t>Single station + printed catch</t>
        </is>
      </c>
      <c r="C15" s="50" t="n">
        <v>1</v>
      </c>
      <c r="D15" s="52" t="n">
        <v>700</v>
      </c>
      <c r="E15" s="52">
        <f>C15*D15</f>
        <v/>
      </c>
      <c r="F15" s="50" t="inlineStr">
        <is>
          <t>EST</t>
        </is>
      </c>
    </row>
    <row r="16">
      <c r="A16" s="54" t="inlineStr">
        <is>
          <t>PDB, wiring, connectors</t>
        </is>
      </c>
      <c r="B16" s="31" t="inlineStr">
        <is>
          <t>Commodity</t>
        </is>
      </c>
      <c r="C16" s="50" t="n">
        <v>1</v>
      </c>
      <c r="D16" s="52" t="n">
        <v>1800</v>
      </c>
      <c r="E16" s="52">
        <f>C16*D16</f>
        <v/>
      </c>
      <c r="F16" s="50" t="inlineStr">
        <is>
          <t>EST</t>
        </is>
      </c>
    </row>
    <row r="17">
      <c r="A17" s="54" t="inlineStr">
        <is>
          <t>Fasteners, standoffs</t>
        </is>
      </c>
      <c r="B17" s="31" t="inlineStr">
        <is>
          <t>Commodity</t>
        </is>
      </c>
      <c r="C17" s="50" t="n">
        <v>1</v>
      </c>
      <c r="D17" s="52" t="n">
        <v>1000</v>
      </c>
      <c r="E17" s="52">
        <f>C17*D17</f>
        <v/>
      </c>
      <c r="F17" s="50" t="inlineStr">
        <is>
          <t>EST</t>
        </is>
      </c>
    </row>
    <row r="18">
      <c r="A18" s="54" t="inlineStr">
        <is>
          <t>Test-campaign spares</t>
        </is>
      </c>
      <c r="B18" s="31" t="inlineStr">
        <is>
          <t>Props, arms, spare pack</t>
        </is>
      </c>
      <c r="C18" s="50" t="n">
        <v>1</v>
      </c>
      <c r="D18" s="52" t="n">
        <v>2500</v>
      </c>
      <c r="E18" s="52">
        <f>C18*D18</f>
        <v/>
      </c>
      <c r="F18" s="50" t="inlineStr">
        <is>
          <t>EST</t>
        </is>
      </c>
    </row>
    <row r="19">
      <c r="A19" s="24" t="inlineStr">
        <is>
          <t>TOTAL</t>
        </is>
      </c>
      <c r="B19" s="23" t="n"/>
      <c r="C19" s="23" t="n"/>
      <c r="D19" s="26" t="n"/>
      <c r="E19" s="25">
        <f>SUM(E5:E18)</f>
        <v/>
      </c>
      <c r="F19" s="23" t="n"/>
    </row>
    <row r="21">
      <c r="A21" s="3" t="inlineStr">
        <is>
          <t>What it cannot do — each line is a requirement or rulebook failure</t>
        </is>
      </c>
    </row>
    <row r="22">
      <c r="A22" s="55" t="inlineStr">
        <is>
          <t>Requirement</t>
        </is>
      </c>
      <c r="B22" s="55" t="inlineStr">
        <is>
          <t>Why this aircraft fails it</t>
        </is>
      </c>
    </row>
    <row r="23" ht="28" customHeight="1">
      <c r="A23" s="31" t="inlineStr">
        <is>
          <t>Carry 4 × 200 g kits</t>
        </is>
      </c>
      <c r="B23" s="31" t="inlineStr">
        <is>
          <t>800 g of payload on a ~1.3 kg airframe. Rule C6 fixes the kit at exactly 200 g, so it cannot be trimmed.</t>
        </is>
      </c>
    </row>
    <row r="24" ht="28" customHeight="1">
      <c r="A24" s="31" t="inlineStr">
        <is>
          <t>SYS-14  15 min hover endurance</t>
        </is>
      </c>
      <c r="B24" s="31" t="inlineStr">
        <is>
          <t>Not at that payload fraction on a 4S 5200 pack.</t>
        </is>
      </c>
    </row>
    <row r="25" ht="28" customHeight="1">
      <c r="A25" s="31" t="inlineStr">
        <is>
          <t>SYS-41  recovery parachute</t>
        </is>
      </c>
      <c r="B25" s="31" t="inlineStr">
        <is>
          <t>None fitted, and no mass budget to add one.</t>
        </is>
      </c>
    </row>
    <row r="26" ht="28" customHeight="1">
      <c r="A26" s="31" t="inlineStr">
        <is>
          <t>Rule 8.14  live feed from EACH drone</t>
        </is>
      </c>
      <c r="B26" s="31" t="inlineStr">
        <is>
          <t>A Pi Zero 2 W cannot encode three concurrent H.264 feeds within a 2.5 Mbps budget.</t>
        </is>
      </c>
    </row>
    <row r="27" ht="28" customHeight="1">
      <c r="A27" s="31" t="inlineStr">
        <is>
          <t>Onboard detection at 2 Hz</t>
        </is>
      </c>
      <c r="B27" s="31" t="inlineStr">
        <is>
          <t>No NPU or GPU. The §8.2 tiling budget is unreachable by orders of magnitude.</t>
        </is>
      </c>
    </row>
    <row r="28" ht="28" customHeight="1">
      <c r="A28" s="31" t="inlineStr">
        <is>
          <t>Geotag accuracy (200 pts)</t>
        </is>
      </c>
      <c r="B28" s="31" t="inlineStr">
        <is>
          <t>Non-RTK gives ~3.1 m against ~1.3 m. Roughly 125 of 200 points forfeited.</t>
        </is>
      </c>
    </row>
    <row r="29" ht="28" customHeight="1">
      <c r="A29" s="31" t="inlineStr">
        <is>
          <t>SYS-04  T/W 2.0 at MTOW</t>
        </is>
      </c>
      <c r="B29" s="31" t="inlineStr">
        <is>
          <t>Loaded, nowhere near 2.0.</t>
        </is>
      </c>
    </row>
    <row r="30" ht="28" customHeight="1">
      <c r="A30" s="31" t="inlineStr">
        <is>
          <t>600 m range with link margin</t>
        </is>
      </c>
      <c r="B30" s="31" t="inlineStr">
        <is>
          <t>Single 915 MHz link, no mesh, no redundant safety radio.</t>
        </is>
      </c>
    </row>
    <row r="32">
      <c r="A32" s="3" t="inlineStr">
        <is>
          <t>The recommendation this leads to</t>
        </is>
      </c>
    </row>
    <row r="33">
      <c r="A33" t="inlineStr">
        <is>
          <t>Not a competition entry — but a genuinely useful DEVELOPMENT MULE, and that is the recommendation</t>
        </is>
      </c>
    </row>
    <row r="34">
      <c r="A34" t="inlineStr">
        <is>
          <t>worth taking from this study.</t>
        </is>
      </c>
    </row>
    <row r="35">
      <c r="A35" t="inlineStr"/>
    </row>
    <row r="36">
      <c r="A36" t="inlineStr">
        <is>
          <t>The binding constraint is an 8-week flight-test window, currently budgeted entirely on an aircraft</t>
        </is>
      </c>
    </row>
    <row r="37">
      <c r="A37" t="inlineStr">
        <is>
          <t>that does not exist yet and cannot be risked once it does. A mule flies from week 1 and absorbs the</t>
        </is>
      </c>
    </row>
    <row r="38">
      <c r="A38" t="inlineStr">
        <is>
          <t>work that does not need the real airframe: ground-station integration against a real MAVLink stream,</t>
        </is>
      </c>
    </row>
    <row r="39">
      <c r="A39" t="inlineStr">
        <is>
          <t>the multi-aircraft radio routing path with real radios, pilot currency, the 5-minute setup drill</t>
        </is>
      </c>
    </row>
    <row r="40">
      <c r="A40" t="inlineStr">
        <is>
          <t>(currently MODELLED RATHER THAN MEASURED, and the highest-priority test in the programme), failsafe</t>
        </is>
      </c>
    </row>
    <row r="41">
      <c r="A41" t="inlineStr">
        <is>
          <t>behaviour on real hardware, and crash-and-rebuild practice.</t>
        </is>
      </c>
    </row>
    <row r="42">
      <c r="A42" t="inlineStr"/>
    </row>
    <row r="43">
      <c r="A43" t="inlineStr">
        <is>
          <t>Three mules cost about one AI compute module.</t>
        </is>
      </c>
    </row>
    <row r="44">
      <c r="A44" t="inlineStr"/>
    </row>
    <row r="45">
      <c r="A45" s="3" t="inlineStr">
        <is>
          <t>RECOMMENDATION: do not pursue a ₹40,000 competition aircraft; it cannot exist. Do consider ₹40,000</t>
        </is>
      </c>
    </row>
    <row r="46">
      <c r="A46" t="inlineStr">
        <is>
          <t>mules as flight-test infrastructure, funded from contingency rather than the airframe budget.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2026-08-10T19:49:51Z</dcterms:created>
  <dcterms:modified xmlns:dcterms="http://purl.org/dc/terms/" xmlns:xsi="http://www.w3.org/2001/XMLSchema-instance" xsi:type="dcterms:W3CDTF">2026-08-10T19:49:51Z</dcterms:modified>
</cp:coreProperties>
</file>