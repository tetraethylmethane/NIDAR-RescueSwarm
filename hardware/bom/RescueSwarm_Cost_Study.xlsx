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Findings" sheetId="2" state="visible" r:id="rId2"/>
    <sheet xmlns:r="http://schemas.openxmlformats.org/officeDocument/2006/relationships" name="02 Cost Summary" sheetId="3" state="visible" r:id="rId3"/>
    <sheet xmlns:r="http://schemas.openxmlformats.org/officeDocument/2006/relationships" name="03 Air Vehicle BOM" sheetId="4" state="visible" r:id="rId4"/>
    <sheet xmlns:r="http://schemas.openxmlformats.org/officeDocument/2006/relationships" name="04 Market Evidence" sheetId="5" state="visible" r:id="rId5"/>
    <sheet xmlns:r="http://schemas.openxmlformats.org/officeDocument/2006/relationships" name="05 Decisions" sheetId="6" state="visible" r:id="rId6"/>
    <sheet xmlns:r="http://schemas.openxmlformats.org/officeDocument/2006/relationships" name="06 What 40k Buys" sheetId="7" state="visible" r:id="rId7"/>
  </sheets>
  <definedNames>
    <definedName name="_xlnm.Print_Titles" localSheetId="3">'03 Air Vehicle BOM'!$1:$4</definedName>
    <definedName name="_xlnm.Print_Titles" localSheetId="4">'04 Market Evidence'!$1:$4</definedName>
    <definedName name="_xlnm.Print_Titles" localSheetId="5">'05 Decisions'!$1:$4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C00000"/>
      <sz val="11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C00000"/>
      <sz val="9"/>
    </font>
    <font>
      <name val="Calibri"/>
      <b val="1"/>
      <color rgb="001F3864"/>
      <sz val="14"/>
    </font>
    <font>
      <name val="Calibri"/>
      <b val="1"/>
      <color rgb="001F3864"/>
      <sz val="12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BE4E0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hair">
        <color rgb="00BFBFBF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/>
    </xf>
    <xf numFmtId="0" fontId="8" fillId="0" borderId="1" pivotButton="0" quotePrefix="0" xfId="0"/>
    <xf numFmtId="164" fontId="0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3" borderId="1" pivotButton="0" quotePrefix="0" xfId="0"/>
    <xf numFmtId="164" fontId="0" fillId="3" borderId="1" pivotButton="0" quotePrefix="0" xfId="0"/>
    <xf numFmtId="0" fontId="9" fillId="3" borderId="1" applyAlignment="1" pivotButton="0" quotePrefix="0" xfId="0">
      <alignment vertical="top" wrapText="1"/>
    </xf>
    <xf numFmtId="0" fontId="10" fillId="0" borderId="1" pivotButton="0" quotePrefix="0" xfId="0"/>
    <xf numFmtId="0" fontId="0" fillId="0" borderId="1" pivotButton="0" quotePrefix="0" xfId="0"/>
    <xf numFmtId="0" fontId="10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vertical="top" wrapText="1"/>
    </xf>
    <xf numFmtId="0" fontId="8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13" fillId="4" borderId="0" applyAlignment="1" pivotButton="0" quotePrefix="0" xfId="0">
      <alignment vertical="center" wrapText="1"/>
    </xf>
    <xf numFmtId="0" fontId="0" fillId="4" borderId="0" pivotButton="0" quotePrefix="0" xfId="0"/>
    <xf numFmtId="0" fontId="1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2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vertical="center" wrapText="1"/>
    </xf>
    <xf numFmtId="0" fontId="0" fillId="5" borderId="0" pivotButton="0" quotePrefix="0" xfId="0"/>
    <xf numFmtId="0" fontId="12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vertical="center" wrapText="1"/>
    </xf>
    <xf numFmtId="0" fontId="0" fillId="3" borderId="0" pivotButton="0" quotePrefix="0" xfId="0"/>
    <xf numFmtId="0" fontId="10" fillId="6" borderId="1" pivotButton="0" quotePrefix="0" xfId="0"/>
    <xf numFmtId="0" fontId="0" fillId="6" borderId="1" pivotButton="0" quotePrefix="0" xfId="0"/>
    <xf numFmtId="0" fontId="9" fillId="6" borderId="1" applyAlignment="1" pivotButton="0" quotePrefix="0" xfId="0">
      <alignment vertical="top" wrapText="1"/>
    </xf>
    <xf numFmtId="0" fontId="10" fillId="7" borderId="1" pivotButton="0" quotePrefix="0" xfId="0"/>
    <xf numFmtId="164" fontId="0" fillId="7" borderId="1" pivotButton="0" quotePrefix="0" xfId="0"/>
    <xf numFmtId="0" fontId="9" fillId="7" borderId="1" applyAlignment="1" pivotButton="0" quotePrefix="0" xfId="0">
      <alignment vertical="top" wrapText="1"/>
    </xf>
    <xf numFmtId="0" fontId="14" fillId="0" borderId="0" pivotButton="0" quotePrefix="0" xfId="0"/>
    <xf numFmtId="0" fontId="15" fillId="6" borderId="0" pivotButton="0" quotePrefix="0" xfId="0"/>
    <xf numFmtId="0" fontId="0" fillId="6" borderId="0" pivotButton="0" quotePrefix="0" xfId="0"/>
    <xf numFmtId="0" fontId="9" fillId="0" borderId="1" applyAlignment="1" pivotButton="0" quotePrefix="0" xfId="0">
      <alignment horizontal="center" vertical="top"/>
    </xf>
    <xf numFmtId="3" fontId="9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9" fillId="4" borderId="1" applyAlignment="1" pivotButton="0" quotePrefix="0" xfId="0">
      <alignment horizontal="center" vertical="top"/>
    </xf>
    <xf numFmtId="0" fontId="9" fillId="4" borderId="1" applyAlignment="1" pivotButton="0" quotePrefix="0" xfId="0">
      <alignment vertical="top" wrapText="1"/>
    </xf>
    <xf numFmtId="3" fontId="9" fillId="4" borderId="1" pivotButton="0" quotePrefix="0" xfId="0"/>
    <xf numFmtId="0" fontId="14" fillId="4" borderId="1" applyAlignment="1" pivotButton="0" quotePrefix="0" xfId="0">
      <alignment horizontal="center" vertical="top"/>
    </xf>
    <xf numFmtId="0" fontId="9" fillId="5" borderId="1" applyAlignment="1" pivotButton="0" quotePrefix="0" xfId="0">
      <alignment horizontal="center" vertical="top"/>
    </xf>
    <xf numFmtId="0" fontId="9" fillId="5" borderId="1" applyAlignment="1" pivotButton="0" quotePrefix="0" xfId="0">
      <alignment vertical="top" wrapText="1"/>
    </xf>
    <xf numFmtId="3" fontId="9" fillId="5" borderId="1" pivotButton="0" quotePrefix="0" xfId="0"/>
    <xf numFmtId="0" fontId="14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3" fontId="9" fillId="3" borderId="1" pivotButton="0" quotePrefix="0" xfId="0"/>
    <xf numFmtId="0" fontId="14" fillId="3" borderId="1" applyAlignment="1" pivotButton="0" quotePrefix="0" xfId="0">
      <alignment horizontal="center" vertical="top"/>
    </xf>
    <xf numFmtId="0" fontId="10" fillId="3" borderId="0" pivotButton="0" quotePrefix="0" xfId="0"/>
    <xf numFmtId="3" fontId="10" fillId="3" borderId="0" pivotButton="0" quotePrefix="0" xfId="0"/>
    <xf numFmtId="0" fontId="9" fillId="7" borderId="1" applyAlignment="1" pivotButton="0" quotePrefix="0" xfId="0">
      <alignment horizontal="center" vertical="top"/>
    </xf>
    <xf numFmtId="0" fontId="16" fillId="7" borderId="1" applyAlignment="1" pivotButton="0" quotePrefix="0" xfId="0">
      <alignment vertical="top" wrapText="1"/>
    </xf>
    <xf numFmtId="3" fontId="9" fillId="7" borderId="1" applyAlignment="1" pivotButton="0" quotePrefix="0" xfId="0">
      <alignment horizontal="center" vertical="top"/>
    </xf>
    <xf numFmtId="0" fontId="9" fillId="0" borderId="1" pivotButton="0" quotePrefix="0" xfId="0"/>
    <xf numFmtId="0" fontId="16" fillId="0" borderId="1" applyAlignment="1" pivotButton="0" quotePrefix="0" xfId="0">
      <alignment vertical="top" wrapText="1"/>
    </xf>
    <xf numFmtId="3" fontId="9" fillId="0" borderId="1" applyAlignment="1" pivotButton="0" quotePrefix="0" xfId="0">
      <alignment horizontal="center" vertical="top"/>
    </xf>
    <xf numFmtId="0" fontId="0" fillId="7" borderId="0" pivotButton="0" quotePrefix="0" xfId="0"/>
    <xf numFmtId="0" fontId="10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vertical="top" wrapText="1"/>
    </xf>
    <xf numFmtId="0" fontId="9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9" fillId="4" borderId="2" applyAlignment="1" pivotButton="0" quotePrefix="0" xfId="0">
      <alignment vertical="top" wrapText="1"/>
    </xf>
    <xf numFmtId="0" fontId="0" fillId="7" borderId="2" pivotButton="0" quotePrefix="0" xfId="0"/>
    <xf numFmtId="0" fontId="9" fillId="0" borderId="2" applyAlignment="1" pivotButton="0" quotePrefix="0" xfId="0">
      <alignment vertical="top" wrapText="1"/>
    </xf>
    <xf numFmtId="0" fontId="9" fillId="5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agamrobotics.com/agamautopilotv6x-rt" TargetMode="External" Id="rId1"/><Relationship Type="http://schemas.openxmlformats.org/officeDocument/2006/relationships/hyperlink" Target="https://www.indiamart.com/proddetail/pixhawk-6c-mini-flight-controller-2852778303248.html" TargetMode="External" Id="rId2"/><Relationship Type="http://schemas.openxmlformats.org/officeDocument/2006/relationships/hyperlink" Target="https://www.iotechworld.co.in/150kv-bharath-drone-bldc-motor.htm" TargetMode="External" Id="rId3"/><Relationship Type="http://schemas.openxmlformats.org/officeDocument/2006/relationships/hyperlink" Target="https://www.uavmarketplace.in/products/t-motors-mn5008-kv170/895789000017087249" TargetMode="External" Id="rId4"/><Relationship Type="http://schemas.openxmlformats.org/officeDocument/2006/relationships/hyperlink" Target="https://robu.in/product/rd-mi-5008-6s-kv340-uav-brushless-motor/" TargetMode="External" Id="rId5"/><Relationship Type="http://schemas.openxmlformats.org/officeDocument/2006/relationships/hyperlink" Target="https://www.sraeros.com/drone-propeller.html" TargetMode="External" Id="rId6"/><Relationship Type="http://schemas.openxmlformats.org/officeDocument/2006/relationships/hyperlink" Target="https://dronecompany.in/product/tarot-t-series-1855-carbon-fiber-cw-ccw-propeller-prop-tl2848/" TargetMode="External" Id="rId7"/><Relationship Type="http://schemas.openxmlformats.org/officeDocument/2006/relationships/hyperlink" Target="https://evreporter.com/godi-receives-bis-certification-to-sell-li-ion-cells-in-india/" TargetMode="External" Id="rId8"/><Relationship Type="http://schemas.openxmlformats.org/officeDocument/2006/relationships/hyperlink" Target="https://www.indiamart.com/proddetail/molicel-inr-21700-p45b-high-current-lithium-ion-cell-for-drones-and-evs-2853200798230.html" TargetMode="External" Id="rId9"/><Relationship Type="http://schemas.openxmlformats.org/officeDocument/2006/relationships/hyperlink" Target="https://robokits.co.in/batteries-chargers/li-ion-cells/3.7v-21700-li-ion-cell/molicel-4500mah-10c-lithium-ion-battery-inr21700-p45b" TargetMode="External" Id="rId10"/><Relationship Type="http://schemas.openxmlformats.org/officeDocument/2006/relationships/hyperlink" Target="https://www.fabtolab.com/seeed-nvidia-jetson-orin-nano-super-developer-kit" TargetMode="External" Id="rId11"/><Relationship Type="http://schemas.openxmlformats.org/officeDocument/2006/relationships/hyperlink" Target="https://robu.in/product/raspberry-pi-ai-hat-26-tops/" TargetMode="External" Id="rId12"/><Relationship Type="http://schemas.openxmlformats.org/officeDocument/2006/relationships/hyperlink" Target="https://robu.in/product/raspberry-pi-5-model-8gb/" TargetMode="External" Id="rId13"/><Relationship Type="http://schemas.openxmlformats.org/officeDocument/2006/relationships/hyperlink" Target="https://www.e-consystems.com/nvidia-cameras/jetson-orin-nx-cameras/12mp-sony-starvis-imx412-ultra-low-light-camera.asp" TargetMode="External" Id="rId14"/><Relationship Type="http://schemas.openxmlformats.org/officeDocument/2006/relationships/hyperlink" Target="https://robu.in/product/arducam-12mp-imx477-motorized-focus-high-quality-camera-for-raspberry-pi/" TargetMode="External" Id="rId15"/><Relationship Type="http://schemas.openxmlformats.org/officeDocument/2006/relationships/hyperlink" Target="https://www.teravolt.in/product-page/aeronav-1-dual-band-gnss" TargetMode="External" Id="rId16"/><Relationship Type="http://schemas.openxmlformats.org/officeDocument/2006/relationships/hyperlink" Target="https://www.xboom.in/shop/drones/drone-components/transmission/rfd-868ux-ind-long-range-modem-bundle/" TargetMode="External" Id="rId17"/><Relationship Type="http://schemas.openxmlformats.org/officeDocument/2006/relationships/hyperlink" Target="https://robokits.co.in/multirotor-spare-parts/fpv-video-telemetry-camera/rfd868x-32-bit-arm-ultra-long-range-telemetry-modem-original" TargetMode="External" Id="rId18"/><Relationship Type="http://schemas.openxmlformats.org/officeDocument/2006/relationships/hyperlink" Target="https://zerodrag.in/products/express-lrs-receiver" TargetMode="External" Id="rId19"/><Relationship Type="http://schemas.openxmlformats.org/officeDocument/2006/relationships/hyperlink" Target="https://vegaprocessors.in/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— Air Vehicle Cost Study</t>
        </is>
      </c>
    </row>
    <row r="3">
      <c r="B3" s="2" t="inlineStr">
        <is>
          <t>Revision C · 2026-08-11 · NIDAR 2026–27 · Track 1 · Mission 1</t>
        </is>
      </c>
    </row>
    <row r="4">
      <c r="B4" s="3" t="inlineStr">
        <is>
          <t>FOR REVIEW AND DECISION — not a purchase order, not the build standard</t>
        </is>
      </c>
    </row>
    <row r="6" ht="20" customHeight="1">
      <c r="A6" s="4" t="inlineStr">
        <is>
          <t xml:space="preserve">  THE QUESTION</t>
        </is>
      </c>
      <c r="B6" s="5" t="n"/>
      <c r="C6" s="5" t="n"/>
      <c r="D6" s="5" t="n"/>
      <c r="E6" s="5" t="n"/>
    </row>
    <row r="7" ht="20" customHeight="1">
      <c r="B7" s="6" t="inlineStr">
        <is>
          <t>Can the per-aircraft cost of ₹2,64,400 be cut to around ₹40,000?</t>
        </is>
      </c>
    </row>
    <row r="9" ht="20" customHeight="1">
      <c r="A9" s="4" t="inlineStr">
        <is>
          <t xml:space="preserve">  THE ANSWER</t>
        </is>
      </c>
      <c r="B9" s="5" t="n"/>
      <c r="C9" s="5" t="n"/>
      <c r="D9" s="5" t="n"/>
      <c r="E9" s="5" t="n"/>
    </row>
    <row r="10">
      <c r="B10" s="7" t="inlineStr">
        <is>
          <t>No — and the exercise found the opposite of what it looked for.</t>
        </is>
      </c>
    </row>
    <row r="11" ht="15" customHeight="1">
      <c r="B11" s="8" t="inlineStr">
        <is>
          <t>Repricing the BOM against live Indian listings shows it is already at or below market. Two lines are underpriced. The net effect of a full cost-reduction pass is ₹9,671 — 3.7 %.</t>
        </is>
      </c>
    </row>
    <row r="12"/>
    <row r="14" ht="28" customHeight="1">
      <c r="A14" s="9" t="inlineStr"/>
      <c r="B14" s="9" t="inlineStr">
        <is>
          <t>Per aircraft</t>
        </is>
      </c>
      <c r="C14" s="9" t="inlineStr">
        <is>
          <t>Fleet ×3</t>
        </is>
      </c>
      <c r="D14" s="9" t="inlineStr">
        <is>
          <t>Comment</t>
        </is>
      </c>
    </row>
    <row r="15" ht="16" customHeight="1">
      <c r="B15" s="10" t="inlineStr">
        <is>
          <t>Current cost, as costed</t>
        </is>
      </c>
      <c r="C15" s="11" t="n">
        <v>264400</v>
      </c>
      <c r="D15" s="11" t="n">
        <v>793200</v>
      </c>
      <c r="E15" s="12" t="inlineStr">
        <is>
          <t>Air-vehicle BOM tab 01</t>
        </is>
      </c>
    </row>
    <row r="16" ht="16" customHeight="1">
      <c r="B16" s="10" t="inlineStr">
        <is>
          <t>Verified savings available</t>
        </is>
      </c>
      <c r="C16" s="11" t="n">
        <v>29922</v>
      </c>
      <c r="D16" s="11" t="n">
        <v>89766</v>
      </c>
      <c r="E16" s="12" t="inlineStr">
        <is>
          <t>5 lines with a listed market price</t>
        </is>
      </c>
    </row>
    <row r="17" ht="16" customHeight="1">
      <c r="B17" s="10" t="inlineStr">
        <is>
          <t>Verified under-pricing</t>
        </is>
      </c>
      <c r="C17" s="11" t="n">
        <v>-20251</v>
      </c>
      <c r="D17" s="11" t="n">
        <v>-60753</v>
      </c>
      <c r="E17" s="12" t="inlineStr">
        <is>
          <t>2 lines: safety radio and motor</t>
        </is>
      </c>
    </row>
    <row r="18" ht="16" customHeight="1">
      <c r="B18" s="13" t="inlineStr">
        <is>
          <t>NET MOVEMENT</t>
        </is>
      </c>
      <c r="C18" s="14" t="n">
        <v>9671</v>
      </c>
      <c r="D18" s="14" t="n">
        <v>29013</v>
      </c>
      <c r="E18" s="15" t="inlineStr">
        <is>
          <t>3.7 % of the current cost</t>
        </is>
      </c>
    </row>
    <row r="19" ht="16" customHeight="1">
      <c r="B19" s="10" t="inlineStr">
        <is>
          <t>Target requested</t>
        </is>
      </c>
      <c r="C19" s="11" t="n">
        <v>40000</v>
      </c>
      <c r="D19" s="11" t="n">
        <v>120000</v>
      </c>
      <c r="E19" s="12" t="inlineStr">
        <is>
          <t>Not reachable — see finding 1</t>
        </is>
      </c>
    </row>
    <row r="21" ht="20" customHeight="1">
      <c r="A21" s="4" t="inlineStr">
        <is>
          <t xml:space="preserve">  WHAT WE RECOMMEND</t>
        </is>
      </c>
      <c r="B21" s="5" t="n"/>
      <c r="C21" s="5" t="n"/>
      <c r="D21" s="5" t="n"/>
      <c r="E21" s="5" t="n"/>
    </row>
    <row r="22" ht="26" customHeight="1">
      <c r="B22" s="16" t="inlineStr">
        <is>
          <t>1.  Get quotes for the four unpriced lines</t>
        </is>
      </c>
      <c r="C22" s="17" t="n"/>
      <c r="D22" s="17" t="n"/>
      <c r="E22" s="12" t="inlineStr">
        <is>
          <t>Flight controller, motor, cells, camera — four of the six largest lines have no public price.</t>
        </is>
      </c>
    </row>
    <row r="23" ht="26" customHeight="1">
      <c r="B23" s="16" t="inlineStr">
        <is>
          <t>2.  Increase the safety-radio budget by ~₹11,855</t>
        </is>
      </c>
      <c r="C23" s="17" t="n"/>
      <c r="D23" s="17" t="n"/>
      <c r="E23" s="12" t="inlineStr">
        <is>
          <t>₹7,500 does not buy a compliant 865–867 MHz link.</t>
        </is>
      </c>
    </row>
    <row r="24" ht="26" customHeight="1">
      <c r="B24" s="16" t="inlineStr">
        <is>
          <t>3.  Benchmark the Pi 5 + AI HAT+ 26 TOPS</t>
        </is>
      </c>
      <c r="C24" s="17" t="n"/>
      <c r="D24" s="17" t="n"/>
      <c r="E24" s="12" t="inlineStr">
        <is>
          <t>The only substitution worth ≥₹18,000, and it meets the ≥20 TOPS spec.</t>
        </is>
      </c>
    </row>
    <row r="25" ht="26" customHeight="1">
      <c r="B25" s="16" t="inlineStr">
        <is>
          <t>4.  Reject the flight-controller substitution</t>
        </is>
      </c>
      <c r="C25" s="17" t="n"/>
      <c r="D25" s="17" t="n"/>
      <c r="E25" s="12" t="inlineStr">
        <is>
          <t>₹3,400 against forfeiting a Made-in-India autopilot.</t>
        </is>
      </c>
    </row>
    <row r="26" ht="26" customHeight="1">
      <c r="B26" s="16" t="inlineStr">
        <is>
          <t>5.  Do not pursue a ₹40,000 aircraft</t>
        </is>
      </c>
      <c r="C26" s="17" t="n"/>
      <c r="D26" s="17" t="n"/>
      <c r="E26" s="12" t="inlineStr">
        <is>
          <t>Consider ₹40,000 development mules instead — see tab 06.</t>
        </is>
      </c>
    </row>
    <row r="28" ht="20" customHeight="1">
      <c r="A28" s="4" t="inlineStr">
        <is>
          <t xml:space="preserve">  HOW TO READ THIS DOCUMENT</t>
        </is>
      </c>
      <c r="B28" s="5" t="n"/>
      <c r="C28" s="5" t="n"/>
      <c r="D28" s="5" t="n"/>
      <c r="E28" s="5" t="n"/>
    </row>
    <row r="29" ht="16" customHeight="1">
      <c r="B29" s="16" t="inlineStr">
        <is>
          <t>01 Findings</t>
        </is>
      </c>
      <c r="C29" s="17" t="n"/>
      <c r="D29" s="17" t="n"/>
      <c r="E29" s="12" t="inlineStr">
        <is>
          <t>Five findings, each with its evidence and the action it implies. Start here.</t>
        </is>
      </c>
    </row>
    <row r="30" ht="16" customHeight="1">
      <c r="B30" s="16" t="inlineStr">
        <is>
          <t>02 Cost Summary</t>
        </is>
      </c>
      <c r="C30" s="17" t="n"/>
      <c r="D30" s="17" t="n"/>
      <c r="E30" s="12" t="inlineStr">
        <is>
          <t>The numbers, and how they roll up.</t>
        </is>
      </c>
    </row>
    <row r="31" ht="16" customHeight="1">
      <c r="B31" s="16" t="inlineStr">
        <is>
          <t>03 Air Vehicle BOM</t>
        </is>
      </c>
      <c r="C31" s="17" t="n"/>
      <c r="D31" s="17" t="n"/>
      <c r="E31" s="12" t="inlineStr">
        <is>
          <t>All 49 lines, repriced, with status per line.</t>
        </is>
      </c>
    </row>
    <row r="32" ht="16" customHeight="1">
      <c r="B32" s="16" t="inlineStr">
        <is>
          <t>04 Market Evidence</t>
        </is>
      </c>
      <c r="C32" s="17" t="n"/>
      <c r="D32" s="17" t="n"/>
      <c r="E32" s="12" t="inlineStr">
        <is>
          <t>Every part considered: model, spec, supplier, source URL, dated price.</t>
        </is>
      </c>
    </row>
    <row r="33" ht="16" customHeight="1">
      <c r="B33" s="16" t="inlineStr">
        <is>
          <t>05 Decisions</t>
        </is>
      </c>
      <c r="C33" s="17" t="n"/>
      <c r="D33" s="17" t="n"/>
      <c r="E33" s="12" t="inlineStr">
        <is>
          <t>Seven decisions with recommendations and space to sign.</t>
        </is>
      </c>
    </row>
    <row r="34" ht="16" customHeight="1">
      <c r="B34" s="16" t="inlineStr">
        <is>
          <t>06 What ₹40k Buys</t>
        </is>
      </c>
      <c r="C34" s="17" t="n"/>
      <c r="D34" s="17" t="n"/>
      <c r="E34" s="12" t="inlineStr">
        <is>
          <t>A real ₹35,400 aircraft, and the eight requirements it fails.</t>
        </is>
      </c>
    </row>
    <row r="36" ht="20" customHeight="1">
      <c r="A36" s="4" t="inlineStr">
        <is>
          <t xml:space="preserve">  PRICE PROVENANCE — READ BEFORE USING ANY FIGURE</t>
        </is>
      </c>
      <c r="B36" s="5" t="n"/>
      <c r="C36" s="5" t="n"/>
      <c r="D36" s="5" t="n"/>
      <c r="E36" s="5" t="n"/>
    </row>
    <row r="37" ht="14" customHeight="1">
      <c r="B37" s="18" t="inlineStr">
        <is>
          <t>LISTED</t>
        </is>
      </c>
      <c r="C37" s="19" t="inlineStr">
        <is>
          <t>a dated Indian retail listing, URL on tab 04</t>
        </is>
      </c>
    </row>
    <row r="38" ht="14" customHeight="1">
      <c r="B38" s="18" t="inlineStr">
        <is>
          <t>QUOTE</t>
        </is>
      </c>
      <c r="C38" s="19" t="inlineStr">
        <is>
          <t>no public price exists — a supplier quote is required</t>
        </is>
      </c>
    </row>
    <row r="39" ht="14" customHeight="1">
      <c r="B39" s="18" t="inlineStr">
        <is>
          <t>EST</t>
        </is>
      </c>
      <c r="C39" s="19" t="inlineStr">
        <is>
          <t>an estimate; directional only</t>
        </is>
      </c>
    </row>
    <row r="41">
      <c r="B41" s="20" t="inlineStr">
        <is>
          <t>No figure here is a supplier quote. Four of the six largest lines in the CURRENT BOM have no public price at all, so ₹2,64,400 is itself an estimate.</t>
        </is>
      </c>
    </row>
    <row r="42"/>
    <row r="44" ht="20" customHeight="1">
      <c r="A44" s="4" t="inlineStr">
        <is>
          <t xml:space="preserve">  APPROVAL</t>
        </is>
      </c>
      <c r="B44" s="5" t="n"/>
      <c r="C44" s="5" t="n"/>
      <c r="D44" s="5" t="n"/>
      <c r="E44" s="5" t="n"/>
    </row>
    <row r="45" ht="22" customHeight="1">
      <c r="B45" s="18" t="inlineStr">
        <is>
          <t>Prepared by</t>
        </is>
      </c>
      <c r="C45" s="21" t="inlineStr">
        <is>
          <t>________________________</t>
        </is>
      </c>
      <c r="E45" s="21" t="inlineStr">
        <is>
          <t>Date  ______________</t>
        </is>
      </c>
    </row>
    <row r="46" ht="22" customHeight="1">
      <c r="B46" s="18" t="inlineStr">
        <is>
          <t>Reviewed by</t>
        </is>
      </c>
      <c r="C46" s="21" t="inlineStr">
        <is>
          <t>________________________</t>
        </is>
      </c>
      <c r="E46" s="21" t="inlineStr">
        <is>
          <t>Date  ______________</t>
        </is>
      </c>
    </row>
    <row r="47" ht="22" customHeight="1">
      <c r="B47" s="18" t="inlineStr">
        <is>
          <t>Approved by</t>
        </is>
      </c>
      <c r="C47" s="21" t="inlineStr">
        <is>
          <t>________________________</t>
        </is>
      </c>
      <c r="E47" s="21" t="inlineStr">
        <is>
          <t>Date  ______________</t>
        </is>
      </c>
    </row>
    <row r="49">
      <c r="B49" s="18" t="inlineStr">
        <is>
          <t>Decision:    ☐ adopt substitutions      ☐ adopt with exceptions      ☐ reject, reprice only</t>
        </is>
      </c>
    </row>
  </sheetData>
  <mergeCells count="17">
    <mergeCell ref="B33:D33"/>
    <mergeCell ref="B49:E49"/>
    <mergeCell ref="B31:D31"/>
    <mergeCell ref="B23:D23"/>
    <mergeCell ref="C37:E37"/>
    <mergeCell ref="B22:D22"/>
    <mergeCell ref="B32:D32"/>
    <mergeCell ref="C39:E39"/>
    <mergeCell ref="B26:D26"/>
    <mergeCell ref="B30:D30"/>
    <mergeCell ref="B11:E12"/>
    <mergeCell ref="B41:E42"/>
    <mergeCell ref="B29:D29"/>
    <mergeCell ref="B25:D25"/>
    <mergeCell ref="B24:D24"/>
    <mergeCell ref="B34:D34"/>
    <mergeCell ref="C38:E38"/>
  </mergeCells>
  <pageMargins left="0.4" right="0.4" top="0.5" bottom="0.5" header="0.5" footer="0.5"/>
  <pageSetup orientation="portrait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8" customWidth="1" min="3" max="3"/>
    <col width="62" customWidth="1" min="4" max="4"/>
    <col width="62" customWidth="1" min="5" max="5"/>
  </cols>
  <sheetData>
    <row r="2">
      <c r="B2" s="1" t="inlineStr">
        <is>
          <t>Findings</t>
        </is>
      </c>
    </row>
    <row r="3">
      <c r="B3" s="2" t="inlineStr">
        <is>
          <t>Each finding states its evidence, what it means, and the action it implies.</t>
        </is>
      </c>
    </row>
    <row r="5" ht="24" customHeight="1">
      <c r="B5" s="22" t="inlineStr">
        <is>
          <t>1</t>
        </is>
      </c>
      <c r="C5" s="23" t="inlineStr">
        <is>
          <t>₹40,000 is not reachable</t>
        </is>
      </c>
      <c r="D5" s="24" t="n"/>
      <c r="E5" s="24" t="n"/>
    </row>
    <row r="6" ht="30" customHeight="1">
      <c r="B6" s="17" t="n"/>
      <c r="C6" s="25" t="inlineStr">
        <is>
          <t>Evidence</t>
        </is>
      </c>
      <c r="D6" s="26" t="inlineStr">
        <is>
          <t>Propulsion and power alone cost ₹73,050 in the current BOM — 1.8× the whole target — before any frame, flight controller, GNSS, camera, radio, parachute or release mechanism.</t>
        </is>
      </c>
      <c r="E6" s="17" t="n"/>
    </row>
    <row r="7" ht="30" customHeight="1">
      <c r="B7" s="17" t="n"/>
      <c r="C7" s="25" t="inlineStr">
        <is>
          <t>What it means</t>
        </is>
      </c>
      <c r="D7" s="26" t="inlineStr">
        <is>
          <t>Both groups are sized by the mission: 4 × 200 g kits, 15 min hover, 600 m range, thrust-to-weight 2.0 at 6.36 kg MTOW. They do not respond to supplier substitution.</t>
        </is>
      </c>
      <c r="E7" s="17" t="n"/>
    </row>
    <row r="8" ht="30" customHeight="1">
      <c r="B8" s="17" t="n"/>
      <c r="C8" s="25" t="inlineStr">
        <is>
          <t>Action</t>
        </is>
      </c>
      <c r="D8" s="26" t="inlineStr">
        <is>
          <t>Do not pursue a ₹40,000 competition aircraft. Tab 06 specifies what ₹40,000 does buy and the eight requirements that aircraft fails.</t>
        </is>
      </c>
      <c r="E8" s="17" t="n"/>
    </row>
    <row r="10" ht="24" customHeight="1">
      <c r="B10" s="22" t="inlineStr">
        <is>
          <t>2</t>
        </is>
      </c>
      <c r="C10" s="23" t="inlineStr">
        <is>
          <t>The safety radio is underpriced</t>
        </is>
      </c>
      <c r="D10" s="24" t="n"/>
      <c r="E10" s="24" t="n"/>
    </row>
    <row r="11" ht="30" customHeight="1">
      <c r="B11" s="17" t="n"/>
      <c r="C11" s="25" t="inlineStr">
        <is>
          <t>Evidence</t>
        </is>
      </c>
      <c r="D11" s="26" t="inlineStr">
        <is>
          <t>Line 41 carries ₹7,500. The India-compliant part for the 865–867 MHz band is the RFD 868ux-IND. RFD868x bundles list at ₹38,709 for an air-and-ground pair — about ₹19,355 for the airborne unit.</t>
        </is>
      </c>
      <c r="E11" s="17" t="n"/>
    </row>
    <row r="12" ht="30" customHeight="1">
      <c r="B12" s="17" t="n"/>
      <c r="C12" s="25" t="inlineStr">
        <is>
          <t>What it means</t>
        </is>
      </c>
      <c r="D12" s="26" t="inlineStr">
        <is>
          <t>₹7,500 does not buy a compliant link. Exposure is roughly +₹11,855 per aircraft, +₹35,565 for the fleet. This is larger than any single saving on this sheet except the compute module.</t>
        </is>
      </c>
      <c r="E12" s="17" t="n"/>
    </row>
    <row r="13" ht="30" customHeight="1">
      <c r="B13" s="17" t="n"/>
      <c r="C13" s="25" t="inlineStr">
        <is>
          <t>Action</t>
        </is>
      </c>
      <c r="D13" s="26" t="inlineStr">
        <is>
          <t>Increase the budget for this line. Confirm the 868ux-IND price with XBOOM and reselect formally — the currently named supplier's module is 928 MHz, outside the Indian delicensed band.</t>
        </is>
      </c>
      <c r="E13" s="17" t="n"/>
    </row>
    <row r="15" ht="24" customHeight="1">
      <c r="B15" s="22" t="inlineStr">
        <is>
          <t>3</t>
        </is>
      </c>
      <c r="C15" s="23" t="inlineStr">
        <is>
          <t>The motor line is below market</t>
        </is>
      </c>
      <c r="D15" s="24" t="n"/>
      <c r="E15" s="24" t="n"/>
    </row>
    <row r="16" ht="30" customHeight="1">
      <c r="B16" s="17" t="n"/>
      <c r="C16" s="25" t="inlineStr">
        <is>
          <t>Evidence</t>
        </is>
      </c>
      <c r="D16" s="26" t="inlineStr">
        <is>
          <t>Line 13 carries ₹7,000, unpublished. The nearest listed equivalents are ₹9,099 (Reflex Drive RD MI-5008, made in India) and ₹9,499 (T-Motor Antigravity MN5008 KV170, 4.1 kgf, 128 g).</t>
        </is>
      </c>
      <c r="E16" s="17" t="n"/>
    </row>
    <row r="17" ht="30" customHeight="1">
      <c r="B17" s="17" t="n"/>
      <c r="C17" s="25" t="inlineStr">
        <is>
          <t>What it means</t>
        </is>
      </c>
      <c r="D17" s="26" t="inlineStr">
        <is>
          <t>The BOM is cheaper than what is actually purchasable. Exposure is about +₹2,099 per motor, +₹8,396 per aircraft. This reframes the exercise: the BOM is not padded.</t>
        </is>
      </c>
      <c r="E17" s="17" t="n"/>
    </row>
    <row r="18" ht="30" customHeight="1">
      <c r="B18" s="17" t="n"/>
      <c r="C18" s="25" t="inlineStr">
        <is>
          <t>Action</t>
        </is>
      </c>
      <c r="D18" s="26" t="inlineStr">
        <is>
          <t>Obtain a written quote from Bharath Components before the figure is used in any funding submission.</t>
        </is>
      </c>
      <c r="E18" s="17" t="n"/>
    </row>
    <row r="20" ht="24" customHeight="1">
      <c r="B20" s="27" t="inlineStr">
        <is>
          <t>4</t>
        </is>
      </c>
      <c r="C20" s="28" t="inlineStr">
        <is>
          <t>Only one substitution is clearly worth making</t>
        </is>
      </c>
      <c r="D20" s="29" t="n"/>
      <c r="E20" s="29" t="n"/>
    </row>
    <row r="21" ht="30" customHeight="1">
      <c r="B21" s="17" t="n"/>
      <c r="C21" s="25" t="inlineStr">
        <is>
          <t>Evidence</t>
        </is>
      </c>
      <c r="D21" s="26" t="inlineStr">
        <is>
          <t>Replacing the AI compute module with a Raspberry Pi 5 + AI HAT+ 26 TOPS saves roughly ₹18,000 — 60 % of all verified savings on this sheet.</t>
        </is>
      </c>
      <c r="E21" s="17" t="n"/>
    </row>
    <row r="22" ht="30" customHeight="1">
      <c r="B22" s="17" t="n"/>
      <c r="C22" s="25" t="inlineStr">
        <is>
          <t>What it means</t>
        </is>
      </c>
      <c r="D22" s="26" t="inlineStr">
        <is>
          <t>The 26 TOPS Hailo-8 variant meets the ≥20 TOPS specification. (An earlier draft proposed the 13 TOPS Hailo-8L, which does not.) Sizing §8.2 requires 24 inferences/s at 640 × 640.</t>
        </is>
      </c>
      <c r="E22" s="17" t="n"/>
    </row>
    <row r="23" ht="30" customHeight="1">
      <c r="B23" s="17" t="n"/>
      <c r="C23" s="25" t="inlineStr">
        <is>
          <t>Action</t>
        </is>
      </c>
      <c r="D23" s="26" t="inlineStr">
        <is>
          <t>Benchmark before committing. If it misses 2 Hz, detection recall falls and the geotag points follow. Do not buy on the datasheet.</t>
        </is>
      </c>
      <c r="E23" s="17" t="n"/>
    </row>
    <row r="25" ht="24" customHeight="1">
      <c r="B25" s="30" t="inlineStr">
        <is>
          <t>5</t>
        </is>
      </c>
      <c r="C25" s="31" t="inlineStr">
        <is>
          <t>Four of the six largest lines have no price</t>
        </is>
      </c>
      <c r="D25" s="32" t="n"/>
      <c r="E25" s="32" t="n"/>
    </row>
    <row r="26" ht="30" customHeight="1">
      <c r="B26" s="17" t="n"/>
      <c r="C26" s="25" t="inlineStr">
        <is>
          <t>Evidence</t>
        </is>
      </c>
      <c r="D26" s="26" t="inlineStr">
        <is>
          <t>The flight controller, motor, cells and camera have no public price anywhere. They are quote-required, not estimated.</t>
        </is>
      </c>
      <c r="E26" s="17" t="n"/>
    </row>
    <row r="27" ht="30" customHeight="1">
      <c r="B27" s="17" t="n"/>
      <c r="C27" s="25" t="inlineStr">
        <is>
          <t>What it means</t>
        </is>
      </c>
      <c r="D27" s="26" t="inlineStr">
        <is>
          <t>₹2,64,400 is therefore itself an estimate, and one of those four is already known to sit below market. Any funding figure derived from it inherits that uncertainty.</t>
        </is>
      </c>
      <c r="E27" s="17" t="n"/>
    </row>
    <row r="28" ht="30" customHeight="1">
      <c r="B28" s="17" t="n"/>
      <c r="C28" s="25" t="inlineStr">
        <is>
          <t>Action</t>
        </is>
      </c>
      <c r="D28" s="26" t="inlineStr">
        <is>
          <t>Request quotes. This is the cheapest and highest-value action on the sheet, and it blocks nothing else.</t>
        </is>
      </c>
      <c r="E28" s="17" t="n"/>
    </row>
  </sheetData>
  <mergeCells count="21">
    <mergeCell ref="D22:E22"/>
    <mergeCell ref="D21:E21"/>
    <mergeCell ref="D6:E6"/>
    <mergeCell ref="D11:E11"/>
    <mergeCell ref="D13:E13"/>
    <mergeCell ref="D27:E27"/>
    <mergeCell ref="D26:E26"/>
    <mergeCell ref="D17:E17"/>
    <mergeCell ref="D16:E16"/>
    <mergeCell ref="D7:E7"/>
    <mergeCell ref="D28:E28"/>
    <mergeCell ref="B2:E2"/>
    <mergeCell ref="D18:E18"/>
    <mergeCell ref="C15:E15"/>
    <mergeCell ref="D12:E12"/>
    <mergeCell ref="D8:E8"/>
    <mergeCell ref="C5:E5"/>
    <mergeCell ref="D23:E23"/>
    <mergeCell ref="C20:E20"/>
    <mergeCell ref="C25:E25"/>
    <mergeCell ref="C10:E10"/>
  </mergeCells>
  <pageMargins left="0.4" right="0.4" top="0.5" bottom="0.5" header="0.5" footer="0.5"/>
  <pageSetup orientation="landscape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50" customWidth="1" min="5" max="5"/>
  </cols>
  <sheetData>
    <row r="2">
      <c r="B2" s="1" t="inlineStr">
        <is>
          <t>Cost Summary</t>
        </is>
      </c>
    </row>
    <row r="3">
      <c r="B3" s="2" t="inlineStr">
        <is>
          <t>Rev C · 2026-08-11 · all figures per aircraft unless stated</t>
        </is>
      </c>
    </row>
    <row r="5" ht="28" customHeight="1">
      <c r="A5" s="9" t="inlineStr"/>
      <c r="B5" s="9" t="inlineStr">
        <is>
          <t>Line</t>
        </is>
      </c>
      <c r="C5" s="9" t="inlineStr">
        <is>
          <t>₹ per aircraft</t>
        </is>
      </c>
      <c r="D5" s="9" t="inlineStr">
        <is>
          <t>₹ fleet ×3</t>
        </is>
      </c>
      <c r="E5" s="9" t="inlineStr">
        <is>
          <t>Note</t>
        </is>
      </c>
    </row>
    <row r="6" ht="16" customHeight="1">
      <c r="B6" s="10" t="inlineStr">
        <is>
          <t>Air vehicle, as costed</t>
        </is>
      </c>
      <c r="C6" s="11" t="n">
        <v>264400</v>
      </c>
      <c r="D6" s="11" t="n">
        <v>793200</v>
      </c>
      <c r="E6" s="12" t="inlineStr">
        <is>
          <t>Current BOM, tab 03 total</t>
        </is>
      </c>
    </row>
    <row r="8" ht="16" customHeight="1">
      <c r="B8" s="33" t="inlineStr">
        <is>
          <t>SAVINGS VERIFIED AGAINST LISTINGS</t>
        </is>
      </c>
      <c r="C8" s="34" t="n"/>
      <c r="D8" s="34" t="n"/>
      <c r="E8" s="35" t="inlineStr"/>
    </row>
    <row r="9" ht="16" customHeight="1">
      <c r="B9" s="10" t="inlineStr">
        <is>
          <t xml:space="preserve">  AI compute → Pi 5 + AI HAT+ 26 TOPS</t>
        </is>
      </c>
      <c r="C9" s="11" t="n">
        <v>18000</v>
      </c>
      <c r="D9" s="11" t="n">
        <v>54000</v>
      </c>
      <c r="E9" s="12" t="inlineStr">
        <is>
          <t>EST; benchmark first</t>
        </is>
      </c>
    </row>
    <row r="10" ht="16" customHeight="1">
      <c r="B10" s="10" t="inlineStr">
        <is>
          <t xml:space="preserve">  Camera → Arducam IMX477</t>
        </is>
      </c>
      <c r="C10" s="11" t="n">
        <v>4400</v>
      </c>
      <c r="D10" s="11" t="n">
        <v>13200</v>
      </c>
      <c r="E10" s="12" t="inlineStr">
        <is>
          <t>Listed ₹9,600</t>
        </is>
      </c>
    </row>
    <row r="11" ht="16" customHeight="1">
      <c r="B11" s="10" t="inlineStr">
        <is>
          <t xml:space="preserve">  Flight controller → Pixhawk 6C Mini</t>
        </is>
      </c>
      <c r="C11" s="11" t="n">
        <v>3400</v>
      </c>
      <c r="D11" s="11" t="n">
        <v>10200</v>
      </c>
      <c r="E11" s="12" t="inlineStr">
        <is>
          <t>Recommend rejecting</t>
        </is>
      </c>
    </row>
    <row r="12" ht="16" customHeight="1">
      <c r="B12" s="10" t="inlineStr">
        <is>
          <t xml:space="preserve">  Cells → Molicel P45B</t>
        </is>
      </c>
      <c r="C12" s="11" t="n">
        <v>2520</v>
      </c>
      <c r="D12" s="11" t="n">
        <v>7560</v>
      </c>
      <c r="E12" s="12" t="inlineStr">
        <is>
          <t>Indigenisation 40% → 0%</t>
        </is>
      </c>
    </row>
    <row r="13" ht="16" customHeight="1">
      <c r="B13" s="10" t="inlineStr">
        <is>
          <t xml:space="preserve">  Propellers → Tarot TL2848</t>
        </is>
      </c>
      <c r="C13" s="11" t="n">
        <v>1602</v>
      </c>
      <c r="D13" s="11" t="n">
        <v>4806</v>
      </c>
      <c r="E13" s="12" t="inlineStr">
        <is>
          <t>Not folding, no CSIR-NAL</t>
        </is>
      </c>
    </row>
    <row r="14" ht="16" customHeight="1">
      <c r="B14" s="36" t="inlineStr">
        <is>
          <t xml:space="preserve">  Subtotal, savings</t>
        </is>
      </c>
      <c r="C14" s="37" t="n">
        <v>29922</v>
      </c>
      <c r="D14" s="37" t="n">
        <v>89766</v>
      </c>
      <c r="E14" s="38" t="inlineStr"/>
    </row>
    <row r="16" ht="16" customHeight="1">
      <c r="B16" s="33" t="inlineStr">
        <is>
          <t>UNDER-PRICING VERIFIED AGAINST LISTINGS</t>
        </is>
      </c>
      <c r="C16" s="34" t="n"/>
      <c r="D16" s="34" t="n"/>
      <c r="E16" s="35" t="inlineStr"/>
    </row>
    <row r="17" ht="16" customHeight="1">
      <c r="B17" s="10" t="inlineStr">
        <is>
          <t xml:space="preserve">  Safety radio → RFD 868ux-IND</t>
        </is>
      </c>
      <c r="C17" s="11" t="n">
        <v>-11855</v>
      </c>
      <c r="D17" s="11" t="n">
        <v>-35565</v>
      </c>
      <c r="E17" s="12" t="inlineStr">
        <is>
          <t>₹7,500 carried vs ~₹19,355</t>
        </is>
      </c>
    </row>
    <row r="18" ht="16" customHeight="1">
      <c r="B18" s="10" t="inlineStr">
        <is>
          <t xml:space="preserve">  Motor → market equivalents</t>
        </is>
      </c>
      <c r="C18" s="11" t="n">
        <v>-8396</v>
      </c>
      <c r="D18" s="11" t="n">
        <v>-25188</v>
      </c>
      <c r="E18" s="12" t="inlineStr">
        <is>
          <t>₹7,000 carried vs ₹9,099</t>
        </is>
      </c>
    </row>
    <row r="19" ht="16" customHeight="1">
      <c r="B19" s="36" t="inlineStr">
        <is>
          <t xml:space="preserve">  Subtotal, under-pricing</t>
        </is>
      </c>
      <c r="C19" s="37" t="n">
        <v>-20251</v>
      </c>
      <c r="D19" s="37" t="n">
        <v>-60753</v>
      </c>
      <c r="E19" s="38" t="inlineStr"/>
    </row>
    <row r="21" ht="16" customHeight="1">
      <c r="B21" s="13" t="inlineStr">
        <is>
          <t>NET MOVEMENT</t>
        </is>
      </c>
      <c r="C21" s="14" t="n">
        <v>9671</v>
      </c>
      <c r="D21" s="14" t="n">
        <v>29013</v>
      </c>
      <c r="E21" s="15" t="inlineStr">
        <is>
          <t>3.7 % of the current cost</t>
        </is>
      </c>
    </row>
    <row r="23" ht="16" customHeight="1">
      <c r="B23" s="10" t="inlineStr">
        <is>
          <t>Target requested</t>
        </is>
      </c>
      <c r="C23" s="11" t="n">
        <v>40000</v>
      </c>
      <c r="D23" s="11" t="n">
        <v>120000</v>
      </c>
      <c r="E23" s="12" t="inlineStr">
        <is>
          <t>Not reachable — finding 1</t>
        </is>
      </c>
    </row>
    <row r="24" ht="16" customHeight="1">
      <c r="B24" s="10" t="inlineStr">
        <is>
          <t>Propulsion + power alone</t>
        </is>
      </c>
      <c r="C24" s="11" t="n">
        <v>73050</v>
      </c>
      <c r="D24" s="11" t="n">
        <v>219150</v>
      </c>
      <c r="E24" s="12" t="inlineStr">
        <is>
          <t>1.8× the target, mission-sized</t>
        </is>
      </c>
    </row>
  </sheetData>
  <pageMargins left="0.4" right="0.4" top="0.5" bottom="0.5" header="0.5" footer="0.5"/>
  <pageSetup orientation="portrait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6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30" customWidth="1" min="3" max="3"/>
    <col width="26" customWidth="1" min="4" max="4"/>
    <col width="5" customWidth="1" min="5" max="5"/>
    <col width="7" customWidth="1" min="6" max="6"/>
    <col width="9" customWidth="1" min="7" max="7"/>
    <col width="10" customWidth="1" min="8" max="8"/>
    <col width="7" customWidth="1" min="9" max="9"/>
    <col width="11" customWidth="1" min="10" max="10"/>
    <col width="62" customWidth="1" min="11" max="11"/>
  </cols>
  <sheetData>
    <row r="1">
      <c r="A1" s="1" t="inlineStr">
        <is>
          <t>Air Vehicle BOM — current configuration, repriced</t>
        </is>
      </c>
    </row>
    <row r="2">
      <c r="A2" s="2" t="inlineStr">
        <is>
          <t>Rev C · 2026-08-11 · Quantities, masses and design unchanged from the build standard. Status column shows what this study recommends for each line.</t>
        </is>
      </c>
    </row>
    <row r="3">
      <c r="A3" s="39" t="inlineStr">
        <is>
          <t>STATUS   KEEP = no change · SUBSTITUTE = cheaper part found · REPRICE = BOM is below market · SOURCE = no valid part selected</t>
        </is>
      </c>
    </row>
    <row r="4" ht="28" customHeight="1">
      <c r="A4" s="9" t="inlineStr">
        <is>
          <t>#</t>
        </is>
      </c>
      <c r="B4" s="9" t="inlineStr">
        <is>
          <t>Component</t>
        </is>
      </c>
      <c r="C4" s="9" t="inlineStr">
        <is>
          <t>Model / part</t>
        </is>
      </c>
      <c r="D4" s="9" t="inlineStr">
        <is>
          <t>Supplier</t>
        </is>
      </c>
      <c r="E4" s="9" t="inlineStr">
        <is>
          <t>Qty</t>
        </is>
      </c>
      <c r="F4" s="9" t="inlineStr">
        <is>
          <t>Mass
g ea</t>
        </is>
      </c>
      <c r="G4" s="9" t="inlineStr">
        <is>
          <t>Unit ₹</t>
        </is>
      </c>
      <c r="H4" s="9" t="inlineStr">
        <is>
          <t>Ext ₹</t>
        </is>
      </c>
      <c r="I4" s="9" t="inlineStr">
        <is>
          <t>Basis</t>
        </is>
      </c>
      <c r="J4" s="9" t="inlineStr">
        <is>
          <t>Status</t>
        </is>
      </c>
      <c r="K4" s="9" t="inlineStr">
        <is>
          <t>Note</t>
        </is>
      </c>
    </row>
    <row r="5" ht="17" customHeight="1">
      <c r="A5" s="40" t="inlineStr">
        <is>
          <t>STRUCTURE</t>
        </is>
      </c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</row>
    <row r="6" ht="26" customHeight="1">
      <c r="A6" s="42" t="n">
        <v>1</v>
      </c>
      <c r="B6" s="12" t="inlineStr">
        <is>
          <t>Arm tube</t>
        </is>
      </c>
      <c r="C6" s="12" t="inlineStr">
        <is>
          <t>—</t>
        </is>
      </c>
      <c r="D6" s="12" t="inlineStr">
        <is>
          <t>Kineco Kaman Composites (Goa) / Compos</t>
        </is>
      </c>
      <c r="E6" s="42" t="n">
        <v>4</v>
      </c>
      <c r="F6" s="42" t="n">
        <v>95</v>
      </c>
      <c r="G6" s="43" t="n">
        <v>1100</v>
      </c>
      <c r="H6" s="43">
        <f>E6*G6</f>
        <v/>
      </c>
      <c r="I6" s="42" t="inlineStr">
        <is>
          <t>BOM</t>
        </is>
      </c>
      <c r="J6" s="44" t="inlineStr">
        <is>
          <t>KEEP</t>
        </is>
      </c>
      <c r="K6" s="12" t="inlineStr"/>
    </row>
    <row r="7" ht="26" customHeight="1">
      <c r="A7" s="42" t="n">
        <v>2</v>
      </c>
      <c r="B7" s="12" t="inlineStr">
        <is>
          <t>Centre plate</t>
        </is>
      </c>
      <c r="C7" s="12" t="inlineStr">
        <is>
          <t>—</t>
        </is>
      </c>
      <c r="D7" s="12" t="inlineStr">
        <is>
          <t>Composite Technology Park, Bengaluru /</t>
        </is>
      </c>
      <c r="E7" s="42" t="n">
        <v>2</v>
      </c>
      <c r="F7" s="42" t="n">
        <v>155</v>
      </c>
      <c r="G7" s="43" t="n">
        <v>3000</v>
      </c>
      <c r="H7" s="43">
        <f>E7*G7</f>
        <v/>
      </c>
      <c r="I7" s="42" t="inlineStr">
        <is>
          <t>BOM</t>
        </is>
      </c>
      <c r="J7" s="44" t="inlineStr">
        <is>
          <t>KEEP</t>
        </is>
      </c>
      <c r="K7" s="12" t="inlineStr"/>
    </row>
    <row r="8" ht="26" customHeight="1">
      <c r="A8" s="42" t="n">
        <v>3</v>
      </c>
      <c r="B8" s="12" t="inlineStr">
        <is>
          <t>Arm clamp set</t>
        </is>
      </c>
      <c r="C8" s="12" t="inlineStr">
        <is>
          <t>—</t>
        </is>
      </c>
      <c r="D8" s="12" t="inlineStr">
        <is>
          <t>Local precision machine shop (Pune / C</t>
        </is>
      </c>
      <c r="E8" s="42" t="n">
        <v>4</v>
      </c>
      <c r="F8" s="42" t="n">
        <v>45</v>
      </c>
      <c r="G8" s="43" t="n">
        <v>750</v>
      </c>
      <c r="H8" s="43">
        <f>E8*G8</f>
        <v/>
      </c>
      <c r="I8" s="42" t="inlineStr">
        <is>
          <t>BOM</t>
        </is>
      </c>
      <c r="J8" s="44" t="inlineStr">
        <is>
          <t>KEEP</t>
        </is>
      </c>
      <c r="K8" s="12" t="inlineStr"/>
    </row>
    <row r="9" ht="26" customHeight="1">
      <c r="A9" s="42" t="n">
        <v>4</v>
      </c>
      <c r="B9" s="12" t="inlineStr">
        <is>
          <t>Motor mount plate</t>
        </is>
      </c>
      <c r="C9" s="12" t="inlineStr">
        <is>
          <t>—</t>
        </is>
      </c>
      <c r="D9" s="12" t="inlineStr">
        <is>
          <t>Local CNC / Composite Technology Park</t>
        </is>
      </c>
      <c r="E9" s="42" t="n">
        <v>4</v>
      </c>
      <c r="F9" s="42" t="n">
        <v>22</v>
      </c>
      <c r="G9" s="43" t="n">
        <v>400</v>
      </c>
      <c r="H9" s="43">
        <f>E9*G9</f>
        <v/>
      </c>
      <c r="I9" s="42" t="inlineStr">
        <is>
          <t>BOM</t>
        </is>
      </c>
      <c r="J9" s="44" t="inlineStr">
        <is>
          <t>KEEP</t>
        </is>
      </c>
      <c r="K9" s="12" t="inlineStr"/>
    </row>
    <row r="10" ht="26" customHeight="1">
      <c r="A10" s="42" t="n">
        <v>5</v>
      </c>
      <c r="B10" s="12" t="inlineStr">
        <is>
          <t>Landing gear leg</t>
        </is>
      </c>
      <c r="C10" s="12" t="inlineStr">
        <is>
          <t>—</t>
        </is>
      </c>
      <c r="D10" s="12" t="inlineStr">
        <is>
          <t>Kineco / local composites</t>
        </is>
      </c>
      <c r="E10" s="42" t="n">
        <v>4</v>
      </c>
      <c r="F10" s="42" t="n">
        <v>55</v>
      </c>
      <c r="G10" s="43" t="n">
        <v>600</v>
      </c>
      <c r="H10" s="43">
        <f>E10*G10</f>
        <v/>
      </c>
      <c r="I10" s="42" t="inlineStr">
        <is>
          <t>BOM</t>
        </is>
      </c>
      <c r="J10" s="44" t="inlineStr">
        <is>
          <t>KEEP</t>
        </is>
      </c>
      <c r="K10" s="12" t="inlineStr"/>
    </row>
    <row r="11" ht="26" customHeight="1">
      <c r="A11" s="42" t="n">
        <v>6</v>
      </c>
      <c r="B11" s="12" t="inlineStr">
        <is>
          <t>Landing foot</t>
        </is>
      </c>
      <c r="C11" s="12" t="inlineStr">
        <is>
          <t>—</t>
        </is>
      </c>
      <c r="D11" s="12" t="inlineStr">
        <is>
          <t>In-house on an Indian FDM printer</t>
        </is>
      </c>
      <c r="E11" s="42" t="n">
        <v>4</v>
      </c>
      <c r="F11" s="42" t="n">
        <v>12</v>
      </c>
      <c r="G11" s="43" t="n">
        <v>100</v>
      </c>
      <c r="H11" s="43">
        <f>E11*G11</f>
        <v/>
      </c>
      <c r="I11" s="42" t="inlineStr">
        <is>
          <t>BOM</t>
        </is>
      </c>
      <c r="J11" s="44" t="inlineStr">
        <is>
          <t>KEEP</t>
        </is>
      </c>
      <c r="K11" s="12" t="inlineStr"/>
    </row>
    <row r="12" ht="26" customHeight="1">
      <c r="A12" s="42" t="n">
        <v>7</v>
      </c>
      <c r="B12" s="12" t="inlineStr">
        <is>
          <t>Battery tray + strap</t>
        </is>
      </c>
      <c r="C12" s="12" t="inlineStr">
        <is>
          <t>—</t>
        </is>
      </c>
      <c r="D12" s="12" t="inlineStr">
        <is>
          <t>In-house + local hardware</t>
        </is>
      </c>
      <c r="E12" s="42" t="n">
        <v>1</v>
      </c>
      <c r="F12" s="42" t="n">
        <v>85</v>
      </c>
      <c r="G12" s="43" t="n">
        <v>600</v>
      </c>
      <c r="H12" s="43">
        <f>E12*G12</f>
        <v/>
      </c>
      <c r="I12" s="42" t="inlineStr">
        <is>
          <t>BOM</t>
        </is>
      </c>
      <c r="J12" s="44" t="inlineStr">
        <is>
          <t>KEEP</t>
        </is>
      </c>
      <c r="K12" s="12" t="inlineStr"/>
    </row>
    <row r="13" ht="26" customHeight="1">
      <c r="A13" s="42" t="n">
        <v>8</v>
      </c>
      <c r="B13" s="12" t="inlineStr">
        <is>
          <t>FC vibration mount</t>
        </is>
      </c>
      <c r="C13" s="12" t="inlineStr">
        <is>
          <t>—</t>
        </is>
      </c>
      <c r="D13" s="12" t="inlineStr">
        <is>
          <t>Indian rubber/silicone moulder + in-ho</t>
        </is>
      </c>
      <c r="E13" s="42" t="n">
        <v>1</v>
      </c>
      <c r="F13" s="42" t="n">
        <v>18</v>
      </c>
      <c r="G13" s="43" t="n">
        <v>350</v>
      </c>
      <c r="H13" s="43">
        <f>E13*G13</f>
        <v/>
      </c>
      <c r="I13" s="42" t="inlineStr">
        <is>
          <t>BOM</t>
        </is>
      </c>
      <c r="J13" s="44" t="inlineStr">
        <is>
          <t>KEEP</t>
        </is>
      </c>
      <c r="K13" s="12" t="inlineStr"/>
    </row>
    <row r="14" ht="26" customHeight="1">
      <c r="A14" s="42" t="n">
        <v>9</v>
      </c>
      <c r="B14" s="12" t="inlineStr">
        <is>
          <t>Electronics canopy</t>
        </is>
      </c>
      <c r="C14" s="12" t="inlineStr">
        <is>
          <t>—</t>
        </is>
      </c>
      <c r="D14" s="12" t="inlineStr">
        <is>
          <t>In-house (Fracktal Works / Divide By Z</t>
        </is>
      </c>
      <c r="E14" s="42" t="n">
        <v>1</v>
      </c>
      <c r="F14" s="42" t="n">
        <v>140</v>
      </c>
      <c r="G14" s="43" t="n">
        <v>500</v>
      </c>
      <c r="H14" s="43">
        <f>E14*G14</f>
        <v/>
      </c>
      <c r="I14" s="42" t="inlineStr">
        <is>
          <t>BOM</t>
        </is>
      </c>
      <c r="J14" s="44" t="inlineStr">
        <is>
          <t>KEEP</t>
        </is>
      </c>
      <c r="K14" s="12" t="inlineStr"/>
    </row>
    <row r="15" ht="26" customHeight="1">
      <c r="A15" s="42" t="n">
        <v>10</v>
      </c>
      <c r="B15" s="12" t="inlineStr">
        <is>
          <t>Compute cooling blower</t>
        </is>
      </c>
      <c r="C15" s="12" t="inlineStr">
        <is>
          <t>—</t>
        </is>
      </c>
      <c r="D15" s="12" t="inlineStr">
        <is>
          <t>Indian fan supplier + in-house duct</t>
        </is>
      </c>
      <c r="E15" s="42" t="n">
        <v>1</v>
      </c>
      <c r="F15" s="42" t="n">
        <v>32</v>
      </c>
      <c r="G15" s="43" t="n">
        <v>400</v>
      </c>
      <c r="H15" s="43">
        <f>E15*G15</f>
        <v/>
      </c>
      <c r="I15" s="42" t="inlineStr">
        <is>
          <t>BOM</t>
        </is>
      </c>
      <c r="J15" s="44" t="inlineStr">
        <is>
          <t>KEEP</t>
        </is>
      </c>
      <c r="K15" s="12" t="inlineStr"/>
    </row>
    <row r="16" ht="26" customHeight="1">
      <c r="A16" s="42" t="n">
        <v>11</v>
      </c>
      <c r="B16" s="12" t="inlineStr">
        <is>
          <t>Fastener kit</t>
        </is>
      </c>
      <c r="C16" s="12" t="inlineStr">
        <is>
          <t>—</t>
        </is>
      </c>
      <c r="D16" s="12" t="inlineStr">
        <is>
          <t xml:space="preserve">Sundram Fasteners (Chennai) / Unbrako </t>
        </is>
      </c>
      <c r="E16" s="42" t="n">
        <v>1</v>
      </c>
      <c r="F16" s="42" t="n">
        <v>110</v>
      </c>
      <c r="G16" s="43" t="n">
        <v>800</v>
      </c>
      <c r="H16" s="43">
        <f>E16*G16</f>
        <v/>
      </c>
      <c r="I16" s="42" t="inlineStr">
        <is>
          <t>BOM</t>
        </is>
      </c>
      <c r="J16" s="44" t="inlineStr">
        <is>
          <t>KEEP</t>
        </is>
      </c>
      <c r="K16" s="12" t="inlineStr"/>
    </row>
    <row r="17" ht="26" customHeight="1">
      <c r="A17" s="42" t="n">
        <v>12</v>
      </c>
      <c r="B17" s="12" t="inlineStr">
        <is>
          <t>Standoffs, spacers, grommets</t>
        </is>
      </c>
      <c r="C17" s="12" t="inlineStr">
        <is>
          <t>—</t>
        </is>
      </c>
      <c r="D17" s="12" t="inlineStr">
        <is>
          <t>Local hardware</t>
        </is>
      </c>
      <c r="E17" s="42" t="n">
        <v>1</v>
      </c>
      <c r="F17" s="42" t="n">
        <v>95</v>
      </c>
      <c r="G17" s="43" t="n">
        <v>600</v>
      </c>
      <c r="H17" s="43">
        <f>E17*G17</f>
        <v/>
      </c>
      <c r="I17" s="42" t="inlineStr">
        <is>
          <t>BOM</t>
        </is>
      </c>
      <c r="J17" s="44" t="inlineStr">
        <is>
          <t>KEEP</t>
        </is>
      </c>
      <c r="K17" s="12" t="inlineStr"/>
    </row>
    <row r="18" ht="17" customHeight="1">
      <c r="A18" s="40" t="inlineStr">
        <is>
          <t>PROPULSION</t>
        </is>
      </c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</row>
    <row r="19" ht="26" customHeight="1">
      <c r="A19" s="45" t="n">
        <v>13</v>
      </c>
      <c r="B19" s="46" t="inlineStr">
        <is>
          <t>Motor</t>
        </is>
      </c>
      <c r="C19" s="46" t="inlineStr">
        <is>
          <t>Bharath 150KV BLDC</t>
        </is>
      </c>
      <c r="D19" s="46" t="inlineStr">
        <is>
          <t>Bharath Components (Gurugram, IoTechWo</t>
        </is>
      </c>
      <c r="E19" s="45" t="n">
        <v>4</v>
      </c>
      <c r="F19" s="45" t="n">
        <v>150</v>
      </c>
      <c r="G19" s="47" t="n">
        <v>7000</v>
      </c>
      <c r="H19" s="47">
        <f>E19*G19</f>
        <v/>
      </c>
      <c r="I19" s="45" t="inlineStr">
        <is>
          <t>QUOTE</t>
        </is>
      </c>
      <c r="J19" s="48" t="inlineStr">
        <is>
          <t>REPRICE</t>
        </is>
      </c>
      <c r="K19" s="46" t="inlineStr">
        <is>
          <t>BOM below market. Listed equivalents ₹9,099 / ₹9,499. Exposure +₹8,396 for four. Finding 3.</t>
        </is>
      </c>
    </row>
    <row r="20" ht="26" customHeight="1">
      <c r="A20" s="42" t="n">
        <v>14</v>
      </c>
      <c r="B20" s="12" t="inlineStr">
        <is>
          <t>ESC</t>
        </is>
      </c>
      <c r="C20" s="12" t="inlineStr">
        <is>
          <t>Flameback ESC</t>
        </is>
      </c>
      <c r="D20" s="12" t="inlineStr">
        <is>
          <t>Flameback Tech (India)</t>
        </is>
      </c>
      <c r="E20" s="42" t="n">
        <v>4</v>
      </c>
      <c r="F20" s="42" t="n">
        <v>48</v>
      </c>
      <c r="G20" s="43" t="n">
        <v>3000</v>
      </c>
      <c r="H20" s="43">
        <f>E20*G20</f>
        <v/>
      </c>
      <c r="I20" s="42" t="inlineStr">
        <is>
          <t>BOM</t>
        </is>
      </c>
      <c r="J20" s="44" t="inlineStr">
        <is>
          <t>KEEP</t>
        </is>
      </c>
      <c r="K20" s="12" t="inlineStr">
        <is>
          <t>4-in-1 substitution rejected: those are 30×30 mm FPV stacks, and one failure stops all four motors.</t>
        </is>
      </c>
    </row>
    <row r="21" ht="26" customHeight="1">
      <c r="A21" s="49" t="n">
        <v>15</v>
      </c>
      <c r="B21" s="50" t="inlineStr">
        <is>
          <t>Propeller pair</t>
        </is>
      </c>
      <c r="C21" s="50" t="inlineStr">
        <is>
          <t>S R Aerospace 18×6.1 CF folding</t>
        </is>
      </c>
      <c r="D21" s="50" t="inlineStr">
        <is>
          <t>S R Aerospace (CSIR-NAL certified) / B</t>
        </is>
      </c>
      <c r="E21" s="49" t="n">
        <v>2</v>
      </c>
      <c r="F21" s="49" t="n">
        <v>116</v>
      </c>
      <c r="G21" s="51" t="n">
        <v>2200</v>
      </c>
      <c r="H21" s="51">
        <f>E21*G21</f>
        <v/>
      </c>
      <c r="I21" s="49" t="inlineStr">
        <is>
          <t>QUOTE</t>
        </is>
      </c>
      <c r="J21" s="52" t="inlineStr">
        <is>
          <t>SUBSTITUTE</t>
        </is>
      </c>
      <c r="K21" s="50" t="inlineStr">
        <is>
          <t>Tarot TL2848 ₹1,399/pair, saves ₹1,602. NOT folding, no CSIR-NAL certification.</t>
        </is>
      </c>
    </row>
    <row r="22" ht="26" customHeight="1">
      <c r="A22" s="42" t="n">
        <v>16</v>
      </c>
      <c r="B22" s="12" t="inlineStr">
        <is>
          <t>Prop adapter / folding hub</t>
        </is>
      </c>
      <c r="C22" s="12" t="inlineStr">
        <is>
          <t>—</t>
        </is>
      </c>
      <c r="D22" s="12" t="inlineStr">
        <is>
          <t>Supplied with motor / local machining</t>
        </is>
      </c>
      <c r="E22" s="42" t="n">
        <v>4</v>
      </c>
      <c r="F22" s="42" t="n">
        <v>14</v>
      </c>
      <c r="G22" s="43" t="n">
        <v>500</v>
      </c>
      <c r="H22" s="43">
        <f>E22*G22</f>
        <v/>
      </c>
      <c r="I22" s="42" t="inlineStr">
        <is>
          <t>BOM</t>
        </is>
      </c>
      <c r="J22" s="44" t="inlineStr">
        <is>
          <t>KEEP</t>
        </is>
      </c>
      <c r="K22" s="12" t="inlineStr"/>
    </row>
    <row r="23" ht="17" customHeight="1">
      <c r="A23" s="40" t="inlineStr">
        <is>
          <t>POWER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</row>
    <row r="24" ht="26" customHeight="1">
      <c r="A24" s="49" t="n">
        <v>17</v>
      </c>
      <c r="B24" s="50" t="inlineStr">
        <is>
          <t>Li-ion cell</t>
        </is>
      </c>
      <c r="C24" s="50" t="inlineStr">
        <is>
          <t>GODI 21700 NMC811</t>
        </is>
      </c>
      <c r="D24" s="50" t="inlineStr">
        <is>
          <t>GODI India (Hyderabad, BIS-certified 2</t>
        </is>
      </c>
      <c r="E24" s="49" t="n">
        <v>18</v>
      </c>
      <c r="F24" s="49" t="n">
        <v>70</v>
      </c>
      <c r="G24" s="51" t="n">
        <v>700</v>
      </c>
      <c r="H24" s="51">
        <f>E24*G24</f>
        <v/>
      </c>
      <c r="I24" s="49" t="inlineStr">
        <is>
          <t>QUOTE</t>
        </is>
      </c>
      <c r="J24" s="52" t="inlineStr">
        <is>
          <t>SUBSTITUTE</t>
        </is>
      </c>
      <c r="K24" s="50" t="inlineStr">
        <is>
          <t>Molicel P45B ₹560. Saves ₹2,520; takes Indian content 40% → 0%.</t>
        </is>
      </c>
    </row>
    <row r="25" ht="26" customHeight="1">
      <c r="A25" s="42" t="n">
        <v>18</v>
      </c>
      <c r="B25" s="12" t="inlineStr">
        <is>
          <t>Pack assembly</t>
        </is>
      </c>
      <c r="C25" s="12" t="inlineStr">
        <is>
          <t>—</t>
        </is>
      </c>
      <c r="D25" s="12" t="inlineStr">
        <is>
          <t>Revogreen Batteries / Lion Battery / N</t>
        </is>
      </c>
      <c r="E25" s="42" t="n">
        <v>1</v>
      </c>
      <c r="F25" s="42" t="n">
        <v>260</v>
      </c>
      <c r="G25" s="43" t="n">
        <v>3500</v>
      </c>
      <c r="H25" s="43">
        <f>E25*G25</f>
        <v/>
      </c>
      <c r="I25" s="42" t="inlineStr">
        <is>
          <t>BOM</t>
        </is>
      </c>
      <c r="J25" s="44" t="inlineStr">
        <is>
          <t>KEEP</t>
        </is>
      </c>
      <c r="K25" s="12" t="inlineStr"/>
    </row>
    <row r="26" ht="26" customHeight="1">
      <c r="A26" s="42" t="n">
        <v>19</v>
      </c>
      <c r="B26" s="12" t="inlineStr">
        <is>
          <t>BMS / balance board</t>
        </is>
      </c>
      <c r="C26" s="12" t="inlineStr">
        <is>
          <t>—</t>
        </is>
      </c>
      <c r="D26" s="12" t="inlineStr">
        <is>
          <t>Flameback Tech / Indian pack house</t>
        </is>
      </c>
      <c r="E26" s="42" t="n">
        <v>1</v>
      </c>
      <c r="F26" s="42" t="n">
        <v>45</v>
      </c>
      <c r="G26" s="43" t="n">
        <v>1600</v>
      </c>
      <c r="H26" s="43">
        <f>E26*G26</f>
        <v/>
      </c>
      <c r="I26" s="42" t="inlineStr">
        <is>
          <t>BOM</t>
        </is>
      </c>
      <c r="J26" s="44" t="inlineStr">
        <is>
          <t>KEEP</t>
        </is>
      </c>
      <c r="K26" s="12" t="inlineStr"/>
    </row>
    <row r="27" ht="26" customHeight="1">
      <c r="A27" s="42" t="n">
        <v>20</v>
      </c>
      <c r="B27" s="12" t="inlineStr">
        <is>
          <t>Power distribution board</t>
        </is>
      </c>
      <c r="C27" s="12" t="inlineStr">
        <is>
          <t>—</t>
        </is>
      </c>
      <c r="D27" s="12" t="inlineStr">
        <is>
          <t>Flameback Tech (India)</t>
        </is>
      </c>
      <c r="E27" s="42" t="n">
        <v>1</v>
      </c>
      <c r="F27" s="42" t="n">
        <v>55</v>
      </c>
      <c r="G27" s="43" t="n">
        <v>1800</v>
      </c>
      <c r="H27" s="43">
        <f>E27*G27</f>
        <v/>
      </c>
      <c r="I27" s="42" t="inlineStr">
        <is>
          <t>BOM</t>
        </is>
      </c>
      <c r="J27" s="44" t="inlineStr">
        <is>
          <t>KEEP</t>
        </is>
      </c>
      <c r="K27" s="12" t="inlineStr"/>
    </row>
    <row r="28" ht="26" customHeight="1">
      <c r="A28" s="42" t="n">
        <v>21</v>
      </c>
      <c r="B28" s="12" t="inlineStr">
        <is>
          <t>Power module / current sensor</t>
        </is>
      </c>
      <c r="C28" s="12" t="inlineStr">
        <is>
          <t>—</t>
        </is>
      </c>
      <c r="D28" s="12" t="inlineStr">
        <is>
          <t>Bharath Components / Flameback Tech</t>
        </is>
      </c>
      <c r="E28" s="42" t="n">
        <v>1</v>
      </c>
      <c r="F28" s="42" t="n">
        <v>45</v>
      </c>
      <c r="G28" s="43" t="n">
        <v>2800</v>
      </c>
      <c r="H28" s="43">
        <f>E28*G28</f>
        <v/>
      </c>
      <c r="I28" s="42" t="inlineStr">
        <is>
          <t>BOM</t>
        </is>
      </c>
      <c r="J28" s="44" t="inlineStr">
        <is>
          <t>KEEP</t>
        </is>
      </c>
      <c r="K28" s="12" t="inlineStr"/>
    </row>
    <row r="29" ht="26" customHeight="1">
      <c r="A29" s="42" t="n">
        <v>22</v>
      </c>
      <c r="B29" s="12" t="inlineStr">
        <is>
          <t>BEC 5 V and 12 V</t>
        </is>
      </c>
      <c r="C29" s="12" t="inlineStr">
        <is>
          <t>—</t>
        </is>
      </c>
      <c r="D29" s="12" t="inlineStr">
        <is>
          <t>Flameback Tech / Indian power-electron</t>
        </is>
      </c>
      <c r="E29" s="42" t="n">
        <v>2</v>
      </c>
      <c r="F29" s="42" t="n">
        <v>31</v>
      </c>
      <c r="G29" s="43" t="n">
        <v>1000</v>
      </c>
      <c r="H29" s="43">
        <f>E29*G29</f>
        <v/>
      </c>
      <c r="I29" s="42" t="inlineStr">
        <is>
          <t>BOM</t>
        </is>
      </c>
      <c r="J29" s="44" t="inlineStr">
        <is>
          <t>KEEP</t>
        </is>
      </c>
      <c r="K29" s="12" t="inlineStr"/>
    </row>
    <row r="30" ht="26" customHeight="1">
      <c r="A30" s="42" t="n">
        <v>23</v>
      </c>
      <c r="B30" s="12" t="inlineStr">
        <is>
          <t>Silicone wire and lugs</t>
        </is>
      </c>
      <c r="C30" s="12" t="inlineStr">
        <is>
          <t>—</t>
        </is>
      </c>
      <c r="D30" s="12" t="inlineStr">
        <is>
          <t>Polycab / Finolex / RR Kabel</t>
        </is>
      </c>
      <c r="E30" s="42" t="n">
        <v>1</v>
      </c>
      <c r="F30" s="42" t="n">
        <v>205</v>
      </c>
      <c r="G30" s="43" t="n">
        <v>1200</v>
      </c>
      <c r="H30" s="43">
        <f>E30*G30</f>
        <v/>
      </c>
      <c r="I30" s="42" t="inlineStr">
        <is>
          <t>BOM</t>
        </is>
      </c>
      <c r="J30" s="44" t="inlineStr">
        <is>
          <t>KEEP</t>
        </is>
      </c>
      <c r="K30" s="12" t="inlineStr"/>
    </row>
    <row r="31" ht="26" customHeight="1">
      <c r="A31" s="42" t="n">
        <v>24</v>
      </c>
      <c r="B31" s="12" t="inlineStr">
        <is>
          <t>Connectors</t>
        </is>
      </c>
      <c r="C31" s="12" t="inlineStr">
        <is>
          <t>—</t>
        </is>
      </c>
      <c r="D31" s="12" t="inlineStr">
        <is>
          <t>Indian distributor; connector bodies i</t>
        </is>
      </c>
      <c r="E31" s="42" t="n">
        <v>1</v>
      </c>
      <c r="F31" s="42" t="n">
        <v>45</v>
      </c>
      <c r="G31" s="43" t="n">
        <v>900</v>
      </c>
      <c r="H31" s="43">
        <f>E31*G31</f>
        <v/>
      </c>
      <c r="I31" s="42" t="inlineStr">
        <is>
          <t>BOM</t>
        </is>
      </c>
      <c r="J31" s="44" t="inlineStr">
        <is>
          <t>KEEP</t>
        </is>
      </c>
      <c r="K31" s="12" t="inlineStr"/>
    </row>
    <row r="32" ht="26" customHeight="1">
      <c r="A32" s="42" t="n">
        <v>25</v>
      </c>
      <c r="B32" s="12" t="inlineStr">
        <is>
          <t>Buzzer + LED</t>
        </is>
      </c>
      <c r="C32" s="12" t="inlineStr">
        <is>
          <t>—</t>
        </is>
      </c>
      <c r="D32" s="12" t="inlineStr">
        <is>
          <t>Local electronics</t>
        </is>
      </c>
      <c r="E32" s="42" t="n">
        <v>1</v>
      </c>
      <c r="F32" s="42" t="n">
        <v>12</v>
      </c>
      <c r="G32" s="43" t="n">
        <v>250</v>
      </c>
      <c r="H32" s="43">
        <f>E32*G32</f>
        <v/>
      </c>
      <c r="I32" s="42" t="inlineStr">
        <is>
          <t>BOM</t>
        </is>
      </c>
      <c r="J32" s="44" t="inlineStr">
        <is>
          <t>KEEP</t>
        </is>
      </c>
      <c r="K32" s="12" t="inlineStr"/>
    </row>
    <row r="33" ht="17" customHeight="1">
      <c r="A33" s="40" t="inlineStr">
        <is>
          <t>AVIONICS</t>
        </is>
      </c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</row>
    <row r="34" ht="26" customHeight="1">
      <c r="A34" s="42" t="n">
        <v>26</v>
      </c>
      <c r="B34" s="12" t="inlineStr">
        <is>
          <t>Flight controller</t>
        </is>
      </c>
      <c r="C34" s="12" t="inlineStr">
        <is>
          <t>Agam Autopilot V6X-RT</t>
        </is>
      </c>
      <c r="D34" s="12" t="inlineStr">
        <is>
          <t>Agam Robotics (Bengaluru)</t>
        </is>
      </c>
      <c r="E34" s="42" t="n">
        <v>1</v>
      </c>
      <c r="F34" s="42" t="n">
        <v>50</v>
      </c>
      <c r="G34" s="43" t="n">
        <v>26000</v>
      </c>
      <c r="H34" s="43">
        <f>E34*G34</f>
        <v/>
      </c>
      <c r="I34" s="42" t="inlineStr">
        <is>
          <t>QUOTE</t>
        </is>
      </c>
      <c r="J34" s="44" t="inlineStr">
        <is>
          <t>KEEP</t>
        </is>
      </c>
      <c r="K34" s="12" t="inlineStr">
        <is>
          <t>Keep. Pixhawk 6C Mini saves only ₹3,400 and forfeits a Made-in-India autopilot. Decision D5.</t>
        </is>
      </c>
    </row>
    <row r="35" ht="26" customHeight="1">
      <c r="A35" s="42" t="n">
        <v>27</v>
      </c>
      <c r="B35" s="12" t="inlineStr">
        <is>
          <t>VEGA co-processor board</t>
        </is>
      </c>
      <c r="C35" s="12" t="inlineStr">
        <is>
          <t>C-DAC ARIES v3.0 (THEJAS32)</t>
        </is>
      </c>
      <c r="D35" s="12" t="inlineStr">
        <is>
          <t>C-DAC (MeitY) — 2 kits free to each to</t>
        </is>
      </c>
      <c r="E35" s="42" t="n">
        <v>1</v>
      </c>
      <c r="F35" s="42" t="n">
        <v>60</v>
      </c>
      <c r="G35" s="43" t="n">
        <v>0</v>
      </c>
      <c r="H35" s="43">
        <f>E35*G35</f>
        <v/>
      </c>
      <c r="I35" s="42" t="inlineStr">
        <is>
          <t>BOM</t>
        </is>
      </c>
      <c r="J35" s="44" t="inlineStr">
        <is>
          <t>KEEP</t>
        </is>
      </c>
      <c r="K35" s="12" t="inlineStr">
        <is>
          <t>₹0. RV32IM at 100 MHz, 256 KB SRAM — a monitor, NOT an AI accelerator.</t>
        </is>
      </c>
    </row>
    <row r="36" ht="26" customHeight="1">
      <c r="A36" s="42" t="n">
        <v>28</v>
      </c>
      <c r="B36" s="12" t="inlineStr">
        <is>
          <t>GNSS primary</t>
        </is>
      </c>
      <c r="C36" s="12" t="inlineStr">
        <is>
          <t>Teravolt AeroNav-1</t>
        </is>
      </c>
      <c r="D36" s="12" t="inlineStr">
        <is>
          <t>Teravolt Labs (India)</t>
        </is>
      </c>
      <c r="E36" s="42" t="n">
        <v>1</v>
      </c>
      <c r="F36" s="42" t="n">
        <v>55</v>
      </c>
      <c r="G36" s="43" t="n">
        <v>18000</v>
      </c>
      <c r="H36" s="43">
        <f>E36*G36</f>
        <v/>
      </c>
      <c r="I36" s="42" t="inlineStr">
        <is>
          <t>BOM</t>
        </is>
      </c>
      <c r="J36" s="44" t="inlineStr">
        <is>
          <t>KEEP</t>
        </is>
      </c>
      <c r="K36" s="12" t="inlineStr">
        <is>
          <t>No cheaper RTK-capable equivalent. RTK not claimed on the product page. Decision D1.</t>
        </is>
      </c>
    </row>
    <row r="37" ht="26" customHeight="1">
      <c r="A37" s="42" t="n">
        <v>29</v>
      </c>
      <c r="B37" s="12" t="inlineStr">
        <is>
          <t>GNSS secondary (heading)</t>
        </is>
      </c>
      <c r="C37" s="12" t="inlineStr">
        <is>
          <t>Teravolt AeroNav-1 (heading)</t>
        </is>
      </c>
      <c r="D37" s="12" t="inlineStr">
        <is>
          <t>Teravolt Labs / Accord Software (Benga</t>
        </is>
      </c>
      <c r="E37" s="42" t="n">
        <v>1</v>
      </c>
      <c r="F37" s="42" t="n">
        <v>50</v>
      </c>
      <c r="G37" s="43" t="n">
        <v>17000</v>
      </c>
      <c r="H37" s="43">
        <f>E37*G37</f>
        <v/>
      </c>
      <c r="I37" s="42" t="inlineStr">
        <is>
          <t>BOM</t>
        </is>
      </c>
      <c r="J37" s="44" t="inlineStr">
        <is>
          <t>KEEP</t>
        </is>
      </c>
      <c r="K37" s="12" t="inlineStr">
        <is>
          <t>Moving-baseline yaw. No alternative exists.</t>
        </is>
      </c>
    </row>
    <row r="38" ht="26" customHeight="1">
      <c r="A38" s="42" t="n">
        <v>30</v>
      </c>
      <c r="B38" s="12" t="inlineStr">
        <is>
          <t>GNSS antenna</t>
        </is>
      </c>
      <c r="C38" s="12" t="inlineStr">
        <is>
          <t>—</t>
        </is>
      </c>
      <c r="D38" s="12" t="inlineStr">
        <is>
          <t>Supplied with the Indian receiver kits</t>
        </is>
      </c>
      <c r="E38" s="42" t="n">
        <v>2</v>
      </c>
      <c r="F38" s="42" t="n">
        <v>35</v>
      </c>
      <c r="G38" s="43" t="n">
        <v>3200</v>
      </c>
      <c r="H38" s="43">
        <f>E38*G38</f>
        <v/>
      </c>
      <c r="I38" s="42" t="inlineStr">
        <is>
          <t>BOM</t>
        </is>
      </c>
      <c r="J38" s="44" t="inlineStr">
        <is>
          <t>KEEP</t>
        </is>
      </c>
      <c r="K38" s="12" t="inlineStr"/>
    </row>
    <row r="39" ht="26" customHeight="1">
      <c r="A39" s="42" t="n">
        <v>31</v>
      </c>
      <c r="B39" s="12" t="inlineStr">
        <is>
          <t>RC receiver</t>
        </is>
      </c>
      <c r="C39" s="12" t="inlineStr">
        <is>
          <t>Zerodrag Nexus1 ELRS</t>
        </is>
      </c>
      <c r="D39" s="12" t="inlineStr">
        <is>
          <t>Zerodrag (India)</t>
        </is>
      </c>
      <c r="E39" s="42" t="n">
        <v>1</v>
      </c>
      <c r="F39" s="42" t="n">
        <v>12</v>
      </c>
      <c r="G39" s="43" t="n">
        <v>2000</v>
      </c>
      <c r="H39" s="43">
        <f>E39*G39</f>
        <v/>
      </c>
      <c r="I39" s="42" t="inlineStr">
        <is>
          <t>QUOTE</t>
        </is>
      </c>
      <c r="J39" s="44" t="inlineStr">
        <is>
          <t>KEEP</t>
        </is>
      </c>
      <c r="K39" s="12" t="inlineStr"/>
    </row>
    <row r="40" ht="26" customHeight="1">
      <c r="A40" s="42" t="n">
        <v>32</v>
      </c>
      <c r="B40" s="12" t="inlineStr">
        <is>
          <t>Safety switch, LED, SD cards</t>
        </is>
      </c>
      <c r="C40" s="12" t="inlineStr">
        <is>
          <t>—</t>
        </is>
      </c>
      <c r="D40" s="12" t="inlineStr">
        <is>
          <t>Indian distributor / Agam accessories</t>
        </is>
      </c>
      <c r="E40" s="42" t="n">
        <v>1</v>
      </c>
      <c r="F40" s="42" t="n">
        <v>22</v>
      </c>
      <c r="G40" s="43" t="n">
        <v>1400</v>
      </c>
      <c r="H40" s="43">
        <f>E40*G40</f>
        <v/>
      </c>
      <c r="I40" s="42" t="inlineStr">
        <is>
          <t>BOM</t>
        </is>
      </c>
      <c r="J40" s="44" t="inlineStr">
        <is>
          <t>KEEP</t>
        </is>
      </c>
      <c r="K40" s="12" t="inlineStr"/>
    </row>
    <row r="41" ht="17" customHeight="1">
      <c r="A41" s="40" t="inlineStr">
        <is>
          <t>COMPUTE AND PERCEPTION</t>
        </is>
      </c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</row>
    <row r="42" ht="26" customHeight="1">
      <c r="A42" s="49" t="n">
        <v>33</v>
      </c>
      <c r="B42" s="50" t="inlineStr">
        <is>
          <t>AI compute module</t>
        </is>
      </c>
      <c r="C42" s="50" t="inlineStr">
        <is>
          <t>NVIDIA Jetson Orin Nano Super</t>
        </is>
      </c>
      <c r="D42" s="50" t="inlineStr">
        <is>
          <t>Imported SoM on a VVDN / Syrma SGS / e</t>
        </is>
      </c>
      <c r="E42" s="49" t="n">
        <v>1</v>
      </c>
      <c r="F42" s="49" t="n">
        <v>200</v>
      </c>
      <c r="G42" s="51" t="n">
        <v>38000</v>
      </c>
      <c r="H42" s="51">
        <f>E42*G42</f>
        <v/>
      </c>
      <c r="I42" s="49" t="inlineStr">
        <is>
          <t>BOM</t>
        </is>
      </c>
      <c r="J42" s="52" t="inlineStr">
        <is>
          <t>SUBSTITUTE</t>
        </is>
      </c>
      <c r="K42" s="50" t="inlineStr">
        <is>
          <t>Pi 5 + AI HAT+ 26 TOPS saves ~₹18,000 and meets the ≥20 TOPS spec. Benchmark first. Decision D3.</t>
        </is>
      </c>
    </row>
    <row r="43" ht="26" customHeight="1">
      <c r="A43" s="42" t="n">
        <v>34</v>
      </c>
      <c r="B43" s="12" t="inlineStr">
        <is>
          <t>Storage</t>
        </is>
      </c>
      <c r="C43" s="12" t="inlineStr">
        <is>
          <t>—</t>
        </is>
      </c>
      <c r="D43" s="12" t="inlineStr">
        <is>
          <t>Indian distributor</t>
        </is>
      </c>
      <c r="E43" s="42" t="n">
        <v>1</v>
      </c>
      <c r="F43" s="42" t="n">
        <v>10</v>
      </c>
      <c r="G43" s="43" t="n">
        <v>2800</v>
      </c>
      <c r="H43" s="43">
        <f>E43*G43</f>
        <v/>
      </c>
      <c r="I43" s="42" t="inlineStr">
        <is>
          <t>BOM</t>
        </is>
      </c>
      <c r="J43" s="44" t="inlineStr">
        <is>
          <t>KEEP</t>
        </is>
      </c>
      <c r="K43" s="12" t="inlineStr"/>
    </row>
    <row r="44" ht="26" customHeight="1">
      <c r="A44" s="49" t="n">
        <v>35</v>
      </c>
      <c r="B44" s="50" t="inlineStr">
        <is>
          <t>Camera module</t>
        </is>
      </c>
      <c r="C44" s="50" t="inlineStr">
        <is>
          <t>e-con e-CAM121_CUONX</t>
        </is>
      </c>
      <c r="D44" s="50" t="inlineStr">
        <is>
          <t>e-con Systems (Chennai)</t>
        </is>
      </c>
      <c r="E44" s="49" t="n">
        <v>1</v>
      </c>
      <c r="F44" s="49" t="n">
        <v>80</v>
      </c>
      <c r="G44" s="51" t="n">
        <v>14000</v>
      </c>
      <c r="H44" s="51">
        <f>E44*G44</f>
        <v/>
      </c>
      <c r="I44" s="49" t="inlineStr">
        <is>
          <t>QUOTE</t>
        </is>
      </c>
      <c r="J44" s="52" t="inlineStr">
        <is>
          <t>SUBSTITUTE</t>
        </is>
      </c>
      <c r="K44" s="50" t="inlineStr">
        <is>
          <t>Arducam IMX477 ₹9,600, saves ₹4,400. Re-measure GSD and low light.</t>
        </is>
      </c>
    </row>
    <row r="45" ht="26" customHeight="1">
      <c r="A45" s="42" t="n">
        <v>36</v>
      </c>
      <c r="B45" s="12" t="inlineStr">
        <is>
          <t>Lens</t>
        </is>
      </c>
      <c r="C45" s="12" t="inlineStr">
        <is>
          <t>—</t>
        </is>
      </c>
      <c r="D45" s="12" t="inlineStr">
        <is>
          <t>e-con Systems / Indian optics house</t>
        </is>
      </c>
      <c r="E45" s="42" t="n">
        <v>1</v>
      </c>
      <c r="F45" s="42" t="n">
        <v>25</v>
      </c>
      <c r="G45" s="43" t="n">
        <v>2600</v>
      </c>
      <c r="H45" s="43">
        <f>E45*G45</f>
        <v/>
      </c>
      <c r="I45" s="42" t="inlineStr">
        <is>
          <t>BOM</t>
        </is>
      </c>
      <c r="J45" s="44" t="inlineStr">
        <is>
          <t>KEEP</t>
        </is>
      </c>
      <c r="K45" s="12" t="inlineStr"/>
    </row>
    <row r="46" ht="26" customHeight="1">
      <c r="A46" s="42" t="n">
        <v>37</v>
      </c>
      <c r="B46" s="12" t="inlineStr">
        <is>
          <t>Camera mount</t>
        </is>
      </c>
      <c r="C46" s="12" t="inlineStr">
        <is>
          <t>—</t>
        </is>
      </c>
      <c r="D46" s="12" t="inlineStr">
        <is>
          <t>In-house</t>
        </is>
      </c>
      <c r="E46" s="42" t="n">
        <v>1</v>
      </c>
      <c r="F46" s="42" t="n">
        <v>45</v>
      </c>
      <c r="G46" s="43" t="n">
        <v>1200</v>
      </c>
      <c r="H46" s="43">
        <f>E46*G46</f>
        <v/>
      </c>
      <c r="I46" s="42" t="inlineStr">
        <is>
          <t>BOM</t>
        </is>
      </c>
      <c r="J46" s="44" t="inlineStr">
        <is>
          <t>KEEP</t>
        </is>
      </c>
      <c r="K46" s="12" t="inlineStr"/>
    </row>
    <row r="47" ht="26" customHeight="1">
      <c r="A47" s="42" t="n">
        <v>38</v>
      </c>
      <c r="B47" s="12" t="inlineStr">
        <is>
          <t>Cabling and cooling</t>
        </is>
      </c>
      <c r="C47" s="12" t="inlineStr">
        <is>
          <t>—</t>
        </is>
      </c>
      <c r="D47" s="12" t="inlineStr">
        <is>
          <t>e-con / local + Indian heatsink extrud</t>
        </is>
      </c>
      <c r="E47" s="42" t="n">
        <v>1</v>
      </c>
      <c r="F47" s="42" t="n">
        <v>100</v>
      </c>
      <c r="G47" s="43" t="n">
        <v>3500</v>
      </c>
      <c r="H47" s="43">
        <f>E47*G47</f>
        <v/>
      </c>
      <c r="I47" s="42" t="inlineStr">
        <is>
          <t>BOM</t>
        </is>
      </c>
      <c r="J47" s="44" t="inlineStr">
        <is>
          <t>KEEP</t>
        </is>
      </c>
      <c r="K47" s="12" t="inlineStr"/>
    </row>
    <row r="48" ht="17" customHeight="1">
      <c r="A48" s="40" t="inlineStr">
        <is>
          <t>COMMUNICATIONS</t>
        </is>
      </c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</row>
    <row r="49" ht="26" customHeight="1">
      <c r="A49" s="53" t="n">
        <v>39</v>
      </c>
      <c r="B49" s="15" t="inlineStr">
        <is>
          <t>Mesh node</t>
        </is>
      </c>
      <c r="C49" s="15" t="inlineStr">
        <is>
          <t>none selected</t>
        </is>
      </c>
      <c r="D49" s="15" t="inlineStr">
        <is>
          <t>FxUAV Technologies (Burla, Odisha) / I</t>
        </is>
      </c>
      <c r="E49" s="53" t="n">
        <v>1</v>
      </c>
      <c r="F49" s="53" t="n">
        <v>45</v>
      </c>
      <c r="G49" s="54" t="n">
        <v>9000</v>
      </c>
      <c r="H49" s="54">
        <f>E49*G49</f>
        <v/>
      </c>
      <c r="I49" s="53" t="inlineStr">
        <is>
          <t>BOM</t>
        </is>
      </c>
      <c r="J49" s="55" t="inlineStr">
        <is>
          <t>SOURCE</t>
        </is>
      </c>
      <c r="K49" s="15" t="inlineStr">
        <is>
          <t>Named supplier's module is 928 MHz, not 2.4/5.8 GHz. No valid part selected. Decision D4.</t>
        </is>
      </c>
    </row>
    <row r="50" ht="26" customHeight="1">
      <c r="A50" s="42" t="n">
        <v>40</v>
      </c>
      <c r="B50" s="12" t="inlineStr">
        <is>
          <t>5.8 GHz antennas</t>
        </is>
      </c>
      <c r="C50" s="12" t="inlineStr">
        <is>
          <t>—</t>
        </is>
      </c>
      <c r="D50" s="12" t="inlineStr">
        <is>
          <t>Indian RF antenna maker (e.g. Wireless</t>
        </is>
      </c>
      <c r="E50" s="42" t="n">
        <v>2</v>
      </c>
      <c r="F50" s="42" t="n">
        <v>22</v>
      </c>
      <c r="G50" s="43" t="n">
        <v>700</v>
      </c>
      <c r="H50" s="43">
        <f>E50*G50</f>
        <v/>
      </c>
      <c r="I50" s="42" t="inlineStr">
        <is>
          <t>BOM</t>
        </is>
      </c>
      <c r="J50" s="44" t="inlineStr">
        <is>
          <t>KEEP</t>
        </is>
      </c>
      <c r="K50" s="12" t="inlineStr"/>
    </row>
    <row r="51" ht="26" customHeight="1">
      <c r="A51" s="45" t="n">
        <v>41</v>
      </c>
      <c r="B51" s="46" t="inlineStr">
        <is>
          <t>Sub-GHz safety radio</t>
        </is>
      </c>
      <c r="C51" s="46" t="inlineStr">
        <is>
          <t>none selected</t>
        </is>
      </c>
      <c r="D51" s="46" t="inlineStr">
        <is>
          <t>FxUAV Technologies / Indian LoRa modul</t>
        </is>
      </c>
      <c r="E51" s="45" t="n">
        <v>1</v>
      </c>
      <c r="F51" s="45" t="n">
        <v>30</v>
      </c>
      <c r="G51" s="47" t="n">
        <v>7500</v>
      </c>
      <c r="H51" s="47">
        <f>E51*G51</f>
        <v/>
      </c>
      <c r="I51" s="45" t="inlineStr">
        <is>
          <t>BOM</t>
        </is>
      </c>
      <c r="J51" s="48" t="inlineStr">
        <is>
          <t>REPRICE</t>
        </is>
      </c>
      <c r="K51" s="46" t="inlineStr">
        <is>
          <t>UNDERPRICED. Compliant part is RFD 868ux-IND, ~₹19,355. Exposure +₹11,855. Finding 2.</t>
        </is>
      </c>
    </row>
    <row r="52" ht="26" customHeight="1">
      <c r="A52" s="42" t="n">
        <v>42</v>
      </c>
      <c r="B52" s="12" t="inlineStr">
        <is>
          <t>868 MHz antenna</t>
        </is>
      </c>
      <c r="C52" s="12" t="inlineStr">
        <is>
          <t>—</t>
        </is>
      </c>
      <c r="D52" s="12" t="inlineStr">
        <is>
          <t>Indian RF antenna maker</t>
        </is>
      </c>
      <c r="E52" s="42" t="n">
        <v>1</v>
      </c>
      <c r="F52" s="42" t="n">
        <v>20</v>
      </c>
      <c r="G52" s="43" t="n">
        <v>600</v>
      </c>
      <c r="H52" s="43">
        <f>E52*G52</f>
        <v/>
      </c>
      <c r="I52" s="42" t="inlineStr">
        <is>
          <t>BOM</t>
        </is>
      </c>
      <c r="J52" s="44" t="inlineStr">
        <is>
          <t>KEEP</t>
        </is>
      </c>
      <c r="K52" s="12" t="inlineStr"/>
    </row>
    <row r="53" ht="17" customHeight="1">
      <c r="A53" s="40" t="inlineStr">
        <is>
          <t>PAYLOAD SYSTEM</t>
        </is>
      </c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</row>
    <row r="54" ht="26" customHeight="1">
      <c r="A54" s="42" t="n">
        <v>43</v>
      </c>
      <c r="B54" s="12" t="inlineStr">
        <is>
          <t>Release servo</t>
        </is>
      </c>
      <c r="C54" s="12" t="inlineStr">
        <is>
          <t>—</t>
        </is>
      </c>
      <c r="D54" s="12" t="inlineStr">
        <is>
          <t>Indian servo supplier / Zerodrag</t>
        </is>
      </c>
      <c r="E54" s="42" t="n">
        <v>4</v>
      </c>
      <c r="F54" s="42" t="n">
        <v>14</v>
      </c>
      <c r="G54" s="43" t="n">
        <v>700</v>
      </c>
      <c r="H54" s="43">
        <f>E54*G54</f>
        <v/>
      </c>
      <c r="I54" s="42" t="inlineStr">
        <is>
          <t>BOM</t>
        </is>
      </c>
      <c r="J54" s="44" t="inlineStr">
        <is>
          <t>KEEP</t>
        </is>
      </c>
      <c r="K54" s="12" t="inlineStr"/>
    </row>
    <row r="55" ht="26" customHeight="1">
      <c r="A55" s="42" t="n">
        <v>44</v>
      </c>
      <c r="B55" s="12" t="inlineStr">
        <is>
          <t>Magazine housing</t>
        </is>
      </c>
      <c r="C55" s="12" t="inlineStr">
        <is>
          <t>—</t>
        </is>
      </c>
      <c r="D55" s="12" t="inlineStr">
        <is>
          <t>In-house</t>
        </is>
      </c>
      <c r="E55" s="42" t="n">
        <v>1</v>
      </c>
      <c r="F55" s="42" t="n">
        <v>120</v>
      </c>
      <c r="G55" s="43" t="n">
        <v>800</v>
      </c>
      <c r="H55" s="43">
        <f>E55*G55</f>
        <v/>
      </c>
      <c r="I55" s="42" t="inlineStr">
        <is>
          <t>BOM</t>
        </is>
      </c>
      <c r="J55" s="44" t="inlineStr">
        <is>
          <t>KEEP</t>
        </is>
      </c>
      <c r="K55" s="12" t="inlineStr"/>
    </row>
    <row r="56" ht="26" customHeight="1">
      <c r="A56" s="42" t="n">
        <v>45</v>
      </c>
      <c r="B56" s="12" t="inlineStr">
        <is>
          <t>Positive-lock detent</t>
        </is>
      </c>
      <c r="C56" s="12" t="inlineStr">
        <is>
          <t>—</t>
        </is>
      </c>
      <c r="D56" s="12" t="inlineStr">
        <is>
          <t>In-house + Indian spring maker</t>
        </is>
      </c>
      <c r="E56" s="42" t="n">
        <v>4</v>
      </c>
      <c r="F56" s="42" t="n">
        <v>9</v>
      </c>
      <c r="G56" s="43" t="n">
        <v>250</v>
      </c>
      <c r="H56" s="43">
        <f>E56*G56</f>
        <v/>
      </c>
      <c r="I56" s="42" t="inlineStr">
        <is>
          <t>BOM</t>
        </is>
      </c>
      <c r="J56" s="44" t="inlineStr">
        <is>
          <t>KEEP</t>
        </is>
      </c>
      <c r="K56" s="12" t="inlineStr"/>
    </row>
    <row r="57" ht="26" customHeight="1">
      <c r="A57" s="42" t="n">
        <v>46</v>
      </c>
      <c r="B57" s="12" t="inlineStr">
        <is>
          <t>Release confirmation switch</t>
        </is>
      </c>
      <c r="C57" s="12" t="inlineStr">
        <is>
          <t>—</t>
        </is>
      </c>
      <c r="D57" s="12" t="inlineStr">
        <is>
          <t>Indian electronics distributor</t>
        </is>
      </c>
      <c r="E57" s="42" t="n">
        <v>4</v>
      </c>
      <c r="F57" s="42" t="n">
        <v>4</v>
      </c>
      <c r="G57" s="43" t="n">
        <v>150</v>
      </c>
      <c r="H57" s="43">
        <f>E57*G57</f>
        <v/>
      </c>
      <c r="I57" s="42" t="inlineStr">
        <is>
          <t>BOM</t>
        </is>
      </c>
      <c r="J57" s="44" t="inlineStr">
        <is>
          <t>KEEP</t>
        </is>
      </c>
      <c r="K57" s="12" t="inlineStr"/>
    </row>
    <row r="58" ht="26" customHeight="1">
      <c r="A58" s="42" t="n">
        <v>47</v>
      </c>
      <c r="B58" s="12" t="inlineStr">
        <is>
          <t>Servo harness</t>
        </is>
      </c>
      <c r="C58" s="12" t="inlineStr">
        <is>
          <t>—</t>
        </is>
      </c>
      <c r="D58" s="12" t="inlineStr">
        <is>
          <t>Local</t>
        </is>
      </c>
      <c r="E58" s="42" t="n">
        <v>1</v>
      </c>
      <c r="F58" s="42" t="n">
        <v>15</v>
      </c>
      <c r="G58" s="43" t="n">
        <v>200</v>
      </c>
      <c r="H58" s="43">
        <f>E58*G58</f>
        <v/>
      </c>
      <c r="I58" s="42" t="inlineStr">
        <is>
          <t>BOM</t>
        </is>
      </c>
      <c r="J58" s="44" t="inlineStr">
        <is>
          <t>KEEP</t>
        </is>
      </c>
      <c r="K58" s="12" t="inlineStr"/>
    </row>
    <row r="59" ht="17" customHeight="1">
      <c r="A59" s="40" t="inlineStr">
        <is>
          <t>SAFETY</t>
        </is>
      </c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</row>
    <row r="60" ht="26" customHeight="1">
      <c r="A60" s="53" t="n">
        <v>48</v>
      </c>
      <c r="B60" s="15" t="inlineStr">
        <is>
          <t>Recovery parachute</t>
        </is>
      </c>
      <c r="C60" s="15" t="inlineStr">
        <is>
          <t>none selected</t>
        </is>
      </c>
      <c r="D60" s="15" t="inlineStr">
        <is>
          <t>Indian UAV-parachute supplier (TBD)</t>
        </is>
      </c>
      <c r="E60" s="53" t="n">
        <v>1</v>
      </c>
      <c r="F60" s="53" t="n">
        <v>240</v>
      </c>
      <c r="G60" s="54" t="n">
        <v>12000</v>
      </c>
      <c r="H60" s="54">
        <f>E60*G60</f>
        <v/>
      </c>
      <c r="I60" s="53" t="inlineStr">
        <is>
          <t>BOM</t>
        </is>
      </c>
      <c r="J60" s="55" t="inlineStr">
        <is>
          <t>SOURCE</t>
        </is>
      </c>
      <c r="K60" s="15" t="inlineStr">
        <is>
          <t>No Indian supplier. Nearest option rated 6.2 kg vs 6.36 kg MTOW. Decision D2.</t>
        </is>
      </c>
    </row>
    <row r="61" ht="26" customHeight="1">
      <c r="A61" s="42" t="n">
        <v>49</v>
      </c>
      <c r="B61" s="12" t="inlineStr">
        <is>
          <t>Parachute mount + bridle</t>
        </is>
      </c>
      <c r="C61" s="12" t="inlineStr">
        <is>
          <t>—</t>
        </is>
      </c>
      <c r="D61" s="12" t="inlineStr">
        <is>
          <t>In-house + local machining</t>
        </is>
      </c>
      <c r="E61" s="42" t="n">
        <v>1</v>
      </c>
      <c r="F61" s="42" t="n">
        <v>60</v>
      </c>
      <c r="G61" s="43" t="n">
        <v>1500</v>
      </c>
      <c r="H61" s="43">
        <f>E61*G61</f>
        <v/>
      </c>
      <c r="I61" s="42" t="inlineStr">
        <is>
          <t>BOM</t>
        </is>
      </c>
      <c r="J61" s="44" t="inlineStr">
        <is>
          <t>KEEP</t>
        </is>
      </c>
      <c r="K61" s="12" t="inlineStr"/>
    </row>
    <row r="62">
      <c r="A62" s="32" t="n"/>
      <c r="B62" s="56" t="inlineStr">
        <is>
          <t>TOTAL, PER AIRCRAFT</t>
        </is>
      </c>
      <c r="C62" s="32" t="n"/>
      <c r="D62" s="32" t="n"/>
      <c r="E62" s="32" t="n"/>
      <c r="F62" s="57">
        <f>SUMPRODUCT(E5:E61,F5:F61)</f>
        <v/>
      </c>
      <c r="G62" s="32" t="n"/>
      <c r="H62" s="57">
        <f>SUM(H5:H61)</f>
        <v/>
      </c>
      <c r="I62" s="32" t="n"/>
      <c r="J62" s="32" t="n"/>
      <c r="K62" s="32" t="n"/>
    </row>
  </sheetData>
  <pageMargins left="0.4" right="0.4" top="0.5" bottom="0.5" header="0.5" footer="0.5"/>
  <pageSetup orientation="landscape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32" customWidth="1" min="3" max="3"/>
    <col width="44" customWidth="1" min="4" max="4"/>
    <col width="24" customWidth="1" min="5" max="5"/>
    <col width="46" customWidth="1" min="6" max="6"/>
    <col width="9" customWidth="1" min="7" max="7"/>
    <col width="16" customWidth="1" min="8" max="8"/>
  </cols>
  <sheetData>
    <row r="1">
      <c r="A1" s="1" t="inlineStr">
        <is>
          <t>Market Evidence</t>
        </is>
      </c>
    </row>
    <row r="2">
      <c r="A2" s="2" t="inlineStr">
        <is>
          <t>Every part considered, with model, specification, supplier and source URL. Prices read on the date of this revision; single-unit retail, and they move.</t>
        </is>
      </c>
    </row>
    <row r="4" ht="28" customHeight="1">
      <c r="A4" s="9" t="inlineStr">
        <is>
          <t>Line</t>
        </is>
      </c>
      <c r="B4" s="9" t="inlineStr">
        <is>
          <t>Role</t>
        </is>
      </c>
      <c r="C4" s="9" t="inlineStr">
        <is>
          <t>Manufacturer / model</t>
        </is>
      </c>
      <c r="D4" s="9" t="inlineStr">
        <is>
          <t>Specification</t>
        </is>
      </c>
      <c r="E4" s="9" t="inlineStr">
        <is>
          <t>Supplier</t>
        </is>
      </c>
      <c r="F4" s="9" t="inlineStr">
        <is>
          <t>Source</t>
        </is>
      </c>
      <c r="G4" s="9" t="inlineStr">
        <is>
          <t>₹</t>
        </is>
      </c>
      <c r="H4" s="9" t="inlineStr">
        <is>
          <t>Basis</t>
        </is>
      </c>
    </row>
    <row r="5" ht="26" customHeight="1">
      <c r="A5" s="36" t="inlineStr">
        <is>
          <t>Flight controller</t>
        </is>
      </c>
      <c r="B5" s="58" t="inlineStr">
        <is>
          <t>current</t>
        </is>
      </c>
      <c r="C5" s="38" t="inlineStr">
        <is>
          <t>Agam Autopilot V6X-RT</t>
        </is>
      </c>
      <c r="D5" s="38" t="inlineStr">
        <is>
          <t>FMUv6X-RT · NXP i.MXRT1176 · triple IMU</t>
        </is>
      </c>
      <c r="E5" s="38" t="inlineStr">
        <is>
          <t>Agam Robotics, Bengaluru</t>
        </is>
      </c>
      <c r="F5" s="59" t="inlineStr">
        <is>
          <t>https://www.agamrobotics.com/agamautopilotv6x-rt</t>
        </is>
      </c>
      <c r="G5" s="60" t="inlineStr">
        <is>
          <t>—</t>
        </is>
      </c>
      <c r="H5" s="58" t="inlineStr">
        <is>
          <t>QUOTE</t>
        </is>
      </c>
    </row>
    <row r="6" ht="26" customHeight="1">
      <c r="A6" s="61" t="inlineStr">
        <is>
          <t>Flight controller</t>
        </is>
      </c>
      <c r="B6" s="42" t="inlineStr">
        <is>
          <t>alternative</t>
        </is>
      </c>
      <c r="C6" s="12" t="inlineStr">
        <is>
          <t>Holybro Pixhawk 6C Mini</t>
        </is>
      </c>
      <c r="D6" s="12" t="inlineStr">
        <is>
          <t>STM32H743 · BMI088 + ICM42688-P</t>
        </is>
      </c>
      <c r="E6" s="12" t="inlineStr">
        <is>
          <t>Indian Robo Store</t>
        </is>
      </c>
      <c r="F6" s="62" t="inlineStr">
        <is>
          <t>https://www.indiamart.com/proddetail/pixhawk-6c-mini-flight-controller-2852778303248.html</t>
        </is>
      </c>
      <c r="G6" s="63" t="n">
        <v>22600</v>
      </c>
      <c r="H6" s="42" t="inlineStr">
        <is>
          <t>LISTED</t>
        </is>
      </c>
    </row>
    <row r="7" ht="4" customHeight="1">
      <c r="A7" s="64" t="n"/>
      <c r="B7" s="64" t="n"/>
      <c r="C7" s="64" t="n"/>
      <c r="D7" s="64" t="n"/>
      <c r="E7" s="64" t="n"/>
      <c r="F7" s="64" t="n"/>
      <c r="G7" s="64" t="n"/>
      <c r="H7" s="64" t="n"/>
    </row>
    <row r="8" ht="26" customHeight="1">
      <c r="A8" s="36" t="inlineStr">
        <is>
          <t>Motor</t>
        </is>
      </c>
      <c r="B8" s="58" t="inlineStr">
        <is>
          <t>current</t>
        </is>
      </c>
      <c r="C8" s="38" t="inlineStr">
        <is>
          <t>Bharath 150KV BLDC</t>
        </is>
      </c>
      <c r="D8" s="38" t="inlineStr">
        <is>
          <t>150 KV · 3-5 kg rotor load · IPX7 · FOC</t>
        </is>
      </c>
      <c r="E8" s="38" t="inlineStr">
        <is>
          <t>Bharath Components, Gurugram</t>
        </is>
      </c>
      <c r="F8" s="59" t="inlineStr">
        <is>
          <t>https://www.iotechworld.co.in/150kv-bharath-drone-bldc-motor.htm</t>
        </is>
      </c>
      <c r="G8" s="60" t="inlineStr">
        <is>
          <t>—</t>
        </is>
      </c>
      <c r="H8" s="58" t="inlineStr">
        <is>
          <t>QUOTE</t>
        </is>
      </c>
    </row>
    <row r="9" ht="26" customHeight="1">
      <c r="A9" s="61" t="inlineStr">
        <is>
          <t>Motor</t>
        </is>
      </c>
      <c r="B9" s="42" t="inlineStr">
        <is>
          <t>market ref</t>
        </is>
      </c>
      <c r="C9" s="12" t="inlineStr">
        <is>
          <t>T-Motor Antigravity MN5008 KV170</t>
        </is>
      </c>
      <c r="D9" s="12" t="inlineStr">
        <is>
          <t>170 KV · 6-12S · 4.1 kgf · 128 g</t>
        </is>
      </c>
      <c r="E9" s="12" t="inlineStr">
        <is>
          <t>UAV Marketplace</t>
        </is>
      </c>
      <c r="F9" s="62" t="inlineStr">
        <is>
          <t>https://www.uavmarketplace.in/products/t-motors-mn5008-kv170/895789000017087249</t>
        </is>
      </c>
      <c r="G9" s="63" t="n">
        <v>9499</v>
      </c>
      <c r="H9" s="42" t="inlineStr">
        <is>
          <t>LISTED</t>
        </is>
      </c>
    </row>
    <row r="10" ht="26" customHeight="1">
      <c r="A10" s="61" t="inlineStr">
        <is>
          <t>Motor</t>
        </is>
      </c>
      <c r="B10" s="42" t="inlineStr">
        <is>
          <t>market ref</t>
        </is>
      </c>
      <c r="C10" s="12" t="inlineStr">
        <is>
          <t>Reflex Drive RD MI-5008</t>
        </is>
      </c>
      <c r="D10" s="12" t="inlineStr">
        <is>
          <t>6S · made in India</t>
        </is>
      </c>
      <c r="E10" s="12" t="inlineStr">
        <is>
          <t>Robu.in</t>
        </is>
      </c>
      <c r="F10" s="62" t="inlineStr">
        <is>
          <t>https://robu.in/product/rd-mi-5008-6s-kv340-uav-brushless-motor/</t>
        </is>
      </c>
      <c r="G10" s="63" t="n">
        <v>9099</v>
      </c>
      <c r="H10" s="42" t="inlineStr">
        <is>
          <t>LISTED</t>
        </is>
      </c>
    </row>
    <row r="11" ht="4" customHeight="1">
      <c r="A11" s="64" t="n"/>
      <c r="B11" s="64" t="n"/>
      <c r="C11" s="64" t="n"/>
      <c r="D11" s="64" t="n"/>
      <c r="E11" s="64" t="n"/>
      <c r="F11" s="64" t="n"/>
      <c r="G11" s="64" t="n"/>
      <c r="H11" s="64" t="n"/>
    </row>
    <row r="12" ht="26" customHeight="1">
      <c r="A12" s="36" t="inlineStr">
        <is>
          <t>Propeller</t>
        </is>
      </c>
      <c r="B12" s="58" t="inlineStr">
        <is>
          <t>current</t>
        </is>
      </c>
      <c r="C12" s="38" t="inlineStr">
        <is>
          <t>S R Aerospace CF prop</t>
        </is>
      </c>
      <c r="D12" s="38" t="inlineStr">
        <is>
          <t>18 x 6.1 in folding · CSIR-NAL certified</t>
        </is>
      </c>
      <c r="E12" s="38" t="inlineStr">
        <is>
          <t>S R Aerospace</t>
        </is>
      </c>
      <c r="F12" s="59" t="inlineStr">
        <is>
          <t>https://www.sraeros.com/drone-propeller.html</t>
        </is>
      </c>
      <c r="G12" s="60" t="inlineStr">
        <is>
          <t>—</t>
        </is>
      </c>
      <c r="H12" s="58" t="inlineStr">
        <is>
          <t>QUOTE</t>
        </is>
      </c>
    </row>
    <row r="13" ht="26" customHeight="1">
      <c r="A13" s="61" t="inlineStr">
        <is>
          <t>Propeller</t>
        </is>
      </c>
      <c r="B13" s="42" t="inlineStr">
        <is>
          <t>alternative</t>
        </is>
      </c>
      <c r="C13" s="12" t="inlineStr">
        <is>
          <t>Tarot T-Series 1855 TL2848</t>
        </is>
      </c>
      <c r="D13" s="12" t="inlineStr">
        <is>
          <t>18 x 5.5 in · 3K Toray CF · NOT folding</t>
        </is>
      </c>
      <c r="E13" s="12" t="inlineStr">
        <is>
          <t>dronecompany.in</t>
        </is>
      </c>
      <c r="F13" s="62" t="inlineStr">
        <is>
          <t>https://dronecompany.in/product/tarot-t-series-1855-carbon-fiber-cw-ccw-propeller-prop-tl2848/</t>
        </is>
      </c>
      <c r="G13" s="63" t="n">
        <v>1399</v>
      </c>
      <c r="H13" s="42" t="inlineStr">
        <is>
          <t>LISTED</t>
        </is>
      </c>
    </row>
    <row r="14" ht="4" customHeight="1">
      <c r="A14" s="64" t="n"/>
      <c r="B14" s="64" t="n"/>
      <c r="C14" s="64" t="n"/>
      <c r="D14" s="64" t="n"/>
      <c r="E14" s="64" t="n"/>
      <c r="F14" s="64" t="n"/>
      <c r="G14" s="64" t="n"/>
      <c r="H14" s="64" t="n"/>
    </row>
    <row r="15" ht="26" customHeight="1">
      <c r="A15" s="36" t="inlineStr">
        <is>
          <t>Li-ion cell</t>
        </is>
      </c>
      <c r="B15" s="58" t="inlineStr">
        <is>
          <t>current</t>
        </is>
      </c>
      <c r="C15" s="38" t="inlineStr">
        <is>
          <t>GODI 21700 NMC811</t>
        </is>
      </c>
      <c r="D15" s="38" t="inlineStr">
        <is>
          <t>BIS-certified · made in Hyderabad</t>
        </is>
      </c>
      <c r="E15" s="38" t="inlineStr">
        <is>
          <t>GODI India</t>
        </is>
      </c>
      <c r="F15" s="59" t="inlineStr">
        <is>
          <t>https://evreporter.com/godi-receives-bis-certification-to-sell-li-ion-cells-in-india/</t>
        </is>
      </c>
      <c r="G15" s="60" t="inlineStr">
        <is>
          <t>—</t>
        </is>
      </c>
      <c r="H15" s="58" t="inlineStr">
        <is>
          <t>QUOTE</t>
        </is>
      </c>
    </row>
    <row r="16" ht="26" customHeight="1">
      <c r="A16" s="61" t="inlineStr">
        <is>
          <t>Li-ion cell</t>
        </is>
      </c>
      <c r="B16" s="42" t="inlineStr">
        <is>
          <t>alternative</t>
        </is>
      </c>
      <c r="C16" s="12" t="inlineStr">
        <is>
          <t>Molicel INR-21700-P45B</t>
        </is>
      </c>
      <c r="D16" s="12" t="inlineStr">
        <is>
          <t>4500 mAh · 45 A · 3.6 V</t>
        </is>
      </c>
      <c r="E16" s="12" t="inlineStr">
        <is>
          <t>IndiaMART, New Delhi</t>
        </is>
      </c>
      <c r="F16" s="62" t="inlineStr">
        <is>
          <t>https://www.indiamart.com/proddetail/molicel-inr-21700-p45b-high-current-lithium-ion-cell-for-drones-and-evs-2853200798230.html</t>
        </is>
      </c>
      <c r="G16" s="63" t="n">
        <v>560</v>
      </c>
      <c r="H16" s="42" t="inlineStr">
        <is>
          <t>LISTED</t>
        </is>
      </c>
    </row>
    <row r="17" ht="26" customHeight="1">
      <c r="A17" s="61" t="inlineStr">
        <is>
          <t>Li-ion cell</t>
        </is>
      </c>
      <c r="B17" s="42" t="inlineStr">
        <is>
          <t>alternative</t>
        </is>
      </c>
      <c r="C17" s="12" t="inlineStr">
        <is>
          <t>Molicel INR-21700-P45B</t>
        </is>
      </c>
      <c r="D17" s="12" t="inlineStr">
        <is>
          <t>same part, second source</t>
        </is>
      </c>
      <c r="E17" s="12" t="inlineStr">
        <is>
          <t>Robokits India</t>
        </is>
      </c>
      <c r="F17" s="62" t="inlineStr">
        <is>
          <t>https://robokits.co.in/batteries-chargers/li-ion-cells/3.7v-21700-li-ion-cell/molicel-4500mah-10c-lithium-ion-battery-inr21700-p45b</t>
        </is>
      </c>
      <c r="G17" s="63" t="n">
        <v>405</v>
      </c>
      <c r="H17" s="42" t="inlineStr">
        <is>
          <t>LISTED</t>
        </is>
      </c>
    </row>
    <row r="18" ht="4" customHeight="1">
      <c r="A18" s="64" t="n"/>
      <c r="B18" s="64" t="n"/>
      <c r="C18" s="64" t="n"/>
      <c r="D18" s="64" t="n"/>
      <c r="E18" s="64" t="n"/>
      <c r="F18" s="64" t="n"/>
      <c r="G18" s="64" t="n"/>
      <c r="H18" s="64" t="n"/>
    </row>
    <row r="19" ht="26" customHeight="1">
      <c r="A19" s="36" t="inlineStr">
        <is>
          <t>AI compute</t>
        </is>
      </c>
      <c r="B19" s="58" t="inlineStr">
        <is>
          <t>current</t>
        </is>
      </c>
      <c r="C19" s="38" t="inlineStr">
        <is>
          <t>NVIDIA Jetson Orin Nano Super</t>
        </is>
      </c>
      <c r="D19" s="38" t="inlineStr">
        <is>
          <t>67 TOPS INT8 · 8 GB</t>
        </is>
      </c>
      <c r="E19" s="38" t="inlineStr">
        <is>
          <t>Fab.to.Lab</t>
        </is>
      </c>
      <c r="F19" s="59" t="inlineStr">
        <is>
          <t>https://www.fabtolab.com/seeed-nvidia-jetson-orin-nano-super-developer-kit</t>
        </is>
      </c>
      <c r="G19" s="60" t="inlineStr">
        <is>
          <t>—</t>
        </is>
      </c>
      <c r="H19" s="58" t="inlineStr">
        <is>
          <t>QUOTE</t>
        </is>
      </c>
    </row>
    <row r="20" ht="26" customHeight="1">
      <c r="A20" s="61" t="inlineStr">
        <is>
          <t>AI compute</t>
        </is>
      </c>
      <c r="B20" s="42" t="inlineStr">
        <is>
          <t>alternative</t>
        </is>
      </c>
      <c r="C20" s="12" t="inlineStr">
        <is>
          <t>Raspberry Pi AI HAT+ 26 TOPS</t>
        </is>
      </c>
      <c r="D20" s="12" t="inlineStr">
        <is>
          <t>Hailo-8 · 26 TOPS · meets &gt;=20 spec</t>
        </is>
      </c>
      <c r="E20" s="12" t="inlineStr">
        <is>
          <t>Robu.in</t>
        </is>
      </c>
      <c r="F20" s="62" t="inlineStr">
        <is>
          <t>https://robu.in/product/raspberry-pi-ai-hat-26-tops/</t>
        </is>
      </c>
      <c r="G20" s="63" t="inlineStr">
        <is>
          <t>—</t>
        </is>
      </c>
      <c r="H20" s="42" t="inlineStr">
        <is>
          <t>CONFIRM</t>
        </is>
      </c>
    </row>
    <row r="21" ht="26" customHeight="1">
      <c r="A21" s="61" t="inlineStr">
        <is>
          <t>AI compute</t>
        </is>
      </c>
      <c r="B21" s="42" t="inlineStr">
        <is>
          <t>host</t>
        </is>
      </c>
      <c r="C21" s="12" t="inlineStr">
        <is>
          <t>Raspberry Pi 5, 8 GB</t>
        </is>
      </c>
      <c r="D21" s="12" t="inlineStr">
        <is>
          <t>BCM2712 · PCIe 2.0 for the HAT</t>
        </is>
      </c>
      <c r="E21" s="12" t="inlineStr">
        <is>
          <t>Robu.in</t>
        </is>
      </c>
      <c r="F21" s="62" t="inlineStr">
        <is>
          <t>https://robu.in/product/raspberry-pi-5-model-8gb/</t>
        </is>
      </c>
      <c r="G21" s="63" t="inlineStr">
        <is>
          <t>—</t>
        </is>
      </c>
      <c r="H21" s="42" t="inlineStr">
        <is>
          <t>CONFIRM</t>
        </is>
      </c>
    </row>
    <row r="22" ht="4" customHeight="1">
      <c r="A22" s="64" t="n"/>
      <c r="B22" s="64" t="n"/>
      <c r="C22" s="64" t="n"/>
      <c r="D22" s="64" t="n"/>
      <c r="E22" s="64" t="n"/>
      <c r="F22" s="64" t="n"/>
      <c r="G22" s="64" t="n"/>
      <c r="H22" s="64" t="n"/>
    </row>
    <row r="23" ht="26" customHeight="1">
      <c r="A23" s="36" t="inlineStr">
        <is>
          <t>Camera</t>
        </is>
      </c>
      <c r="B23" s="58" t="inlineStr">
        <is>
          <t>current</t>
        </is>
      </c>
      <c r="C23" s="38" t="inlineStr">
        <is>
          <t>e-con e-CAM121_CUONX</t>
        </is>
      </c>
      <c r="D23" s="38" t="inlineStr">
        <is>
          <t>12 MP Sony IMX412 · CSI-2 · 4K60</t>
        </is>
      </c>
      <c r="E23" s="38" t="inlineStr">
        <is>
          <t>e-con Systems, Chennai</t>
        </is>
      </c>
      <c r="F23" s="59" t="inlineStr">
        <is>
          <t>https://www.e-consystems.com/nvidia-cameras/jetson-orin-nx-cameras/12mp-sony-starvis-imx412-ultra-low-light-camera.asp</t>
        </is>
      </c>
      <c r="G23" s="60" t="inlineStr">
        <is>
          <t>—</t>
        </is>
      </c>
      <c r="H23" s="58" t="inlineStr">
        <is>
          <t>QUOTE</t>
        </is>
      </c>
    </row>
    <row r="24" ht="26" customHeight="1">
      <c r="A24" s="61" t="inlineStr">
        <is>
          <t>Camera</t>
        </is>
      </c>
      <c r="B24" s="42" t="inlineStr">
        <is>
          <t>alternative</t>
        </is>
      </c>
      <c r="C24" s="12" t="inlineStr">
        <is>
          <t>Arducam 12MP IMX477</t>
        </is>
      </c>
      <c r="D24" s="12" t="inlineStr">
        <is>
          <t>12 MP IMX477 · CSI-2 · M12/CS</t>
        </is>
      </c>
      <c r="E24" s="12" t="inlineStr">
        <is>
          <t>Robu.in</t>
        </is>
      </c>
      <c r="F24" s="62" t="inlineStr">
        <is>
          <t>https://robu.in/product/arducam-12mp-imx477-motorized-focus-high-quality-camera-for-raspberry-pi/</t>
        </is>
      </c>
      <c r="G24" s="63" t="n">
        <v>9600</v>
      </c>
      <c r="H24" s="42" t="inlineStr">
        <is>
          <t>LISTED</t>
        </is>
      </c>
    </row>
    <row r="25" ht="4" customHeight="1">
      <c r="A25" s="64" t="n"/>
      <c r="B25" s="64" t="n"/>
      <c r="C25" s="64" t="n"/>
      <c r="D25" s="64" t="n"/>
      <c r="E25" s="64" t="n"/>
      <c r="F25" s="64" t="n"/>
      <c r="G25" s="64" t="n"/>
      <c r="H25" s="64" t="n"/>
    </row>
    <row r="26" ht="26" customHeight="1">
      <c r="A26" s="36" t="inlineStr">
        <is>
          <t>GNSS</t>
        </is>
      </c>
      <c r="B26" s="58" t="inlineStr">
        <is>
          <t>current</t>
        </is>
      </c>
      <c r="C26" s="38" t="inlineStr">
        <is>
          <t>Teravolt AeroNav-1</t>
        </is>
      </c>
      <c r="D26" s="38" t="inlineStr">
        <is>
          <t>NavIC L1+L5 · BMM350 mag · ArduPilot driver</t>
        </is>
      </c>
      <c r="E26" s="38" t="inlineStr">
        <is>
          <t>Teravolt Labs</t>
        </is>
      </c>
      <c r="F26" s="59" t="inlineStr">
        <is>
          <t>https://www.teravolt.in/product-page/aeronav-1-dual-band-gnss</t>
        </is>
      </c>
      <c r="G26" s="60" t="inlineStr">
        <is>
          <t>—</t>
        </is>
      </c>
      <c r="H26" s="58" t="inlineStr">
        <is>
          <t>RTK NOT CLAIMED</t>
        </is>
      </c>
    </row>
    <row r="27" ht="4" customHeight="1">
      <c r="A27" s="64" t="n"/>
      <c r="B27" s="64" t="n"/>
      <c r="C27" s="64" t="n"/>
      <c r="D27" s="64" t="n"/>
      <c r="E27" s="64" t="n"/>
      <c r="F27" s="64" t="n"/>
      <c r="G27" s="64" t="n"/>
      <c r="H27" s="64" t="n"/>
    </row>
    <row r="28" ht="26" customHeight="1">
      <c r="A28" s="61" t="inlineStr">
        <is>
          <t>Safety radio</t>
        </is>
      </c>
      <c r="B28" s="42" t="inlineStr">
        <is>
          <t>compliant</t>
        </is>
      </c>
      <c r="C28" s="12" t="inlineStr">
        <is>
          <t>RFDesign RFD 868ux-IND</t>
        </is>
      </c>
      <c r="D28" s="12" t="inlineStr">
        <is>
          <t>865-870 MHz · India-compliant variant</t>
        </is>
      </c>
      <c r="E28" s="12" t="inlineStr">
        <is>
          <t>XBOOM India</t>
        </is>
      </c>
      <c r="F28" s="62" t="inlineStr">
        <is>
          <t>https://www.xboom.in/shop/drones/drone-components/transmission/rfd-868ux-ind-long-range-modem-bundle/</t>
        </is>
      </c>
      <c r="G28" s="63" t="inlineStr">
        <is>
          <t>—</t>
        </is>
      </c>
      <c r="H28" s="42" t="inlineStr">
        <is>
          <t>CONFIRM</t>
        </is>
      </c>
    </row>
    <row r="29" ht="26" customHeight="1">
      <c r="A29" s="61" t="inlineStr">
        <is>
          <t>Safety radio</t>
        </is>
      </c>
      <c r="B29" s="42" t="inlineStr">
        <is>
          <t>price anchor</t>
        </is>
      </c>
      <c r="C29" s="12" t="inlineStr">
        <is>
          <t>RFDesign RFD868x 32-bit ARM</t>
        </is>
      </c>
      <c r="D29" s="12" t="inlineStr">
        <is>
          <t>865-870 MHz · 1 W · AES · pair</t>
        </is>
      </c>
      <c r="E29" s="12" t="inlineStr">
        <is>
          <t>Robokits India</t>
        </is>
      </c>
      <c r="F29" s="62" t="inlineStr">
        <is>
          <t>https://robokits.co.in/multirotor-spare-parts/fpv-video-telemetry-camera/rfd868x-32-bit-arm-ultra-long-range-telemetry-modem-original</t>
        </is>
      </c>
      <c r="G29" s="63" t="n">
        <v>38709</v>
      </c>
      <c r="H29" s="42" t="inlineStr">
        <is>
          <t>LISTED</t>
        </is>
      </c>
    </row>
    <row r="30" ht="4" customHeight="1">
      <c r="A30" s="64" t="n"/>
      <c r="B30" s="64" t="n"/>
      <c r="C30" s="64" t="n"/>
      <c r="D30" s="64" t="n"/>
      <c r="E30" s="64" t="n"/>
      <c r="F30" s="64" t="n"/>
      <c r="G30" s="64" t="n"/>
      <c r="H30" s="64" t="n"/>
    </row>
    <row r="31" ht="26" customHeight="1">
      <c r="A31" s="36" t="inlineStr">
        <is>
          <t>RC receiver</t>
        </is>
      </c>
      <c r="B31" s="58" t="inlineStr">
        <is>
          <t>current</t>
        </is>
      </c>
      <c r="C31" s="38" t="inlineStr">
        <is>
          <t>Zerodrag Nexus1 ELRS</t>
        </is>
      </c>
      <c r="D31" s="38" t="inlineStr">
        <is>
          <t>ExpressLRS 2.4 GHz diversity · made in India</t>
        </is>
      </c>
      <c r="E31" s="38" t="inlineStr">
        <is>
          <t>Zerodrag</t>
        </is>
      </c>
      <c r="F31" s="59" t="inlineStr">
        <is>
          <t>https://zerodrag.in/products/express-lrs-receiver</t>
        </is>
      </c>
      <c r="G31" s="60" t="inlineStr">
        <is>
          <t>—</t>
        </is>
      </c>
      <c r="H31" s="58" t="inlineStr">
        <is>
          <t>QUOTE</t>
        </is>
      </c>
    </row>
    <row r="32" ht="4" customHeight="1">
      <c r="A32" s="64" t="n"/>
      <c r="B32" s="64" t="n"/>
      <c r="C32" s="64" t="n"/>
      <c r="D32" s="64" t="n"/>
      <c r="E32" s="64" t="n"/>
      <c r="F32" s="64" t="n"/>
      <c r="G32" s="64" t="n"/>
      <c r="H32" s="64" t="n"/>
    </row>
    <row r="33" ht="26" customHeight="1">
      <c r="A33" s="36" t="inlineStr">
        <is>
          <t>Co-processor</t>
        </is>
      </c>
      <c r="B33" s="58" t="inlineStr">
        <is>
          <t>current</t>
        </is>
      </c>
      <c r="C33" s="38" t="inlineStr">
        <is>
          <t>C-DAC ARIES v3.0 (THEJAS32)</t>
        </is>
      </c>
      <c r="D33" s="38" t="inlineStr">
        <is>
          <t>VEGA ET1031 · RV32IM · 100 MHz · 256 KB SRAM</t>
        </is>
      </c>
      <c r="E33" s="38" t="inlineStr">
        <is>
          <t>C-DAC (MeitY)</t>
        </is>
      </c>
      <c r="F33" s="59" t="inlineStr">
        <is>
          <t>https://vegaprocessors.in/</t>
        </is>
      </c>
      <c r="G33" s="60" t="n">
        <v>0</v>
      </c>
      <c r="H33" s="58" t="inlineStr">
        <is>
          <t>FREE KIT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0" r:id="rId5"/>
    <hyperlink xmlns:r="http://schemas.openxmlformats.org/officeDocument/2006/relationships" ref="F12" r:id="rId6"/>
    <hyperlink xmlns:r="http://schemas.openxmlformats.org/officeDocument/2006/relationships" ref="F13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9" r:id="rId11"/>
    <hyperlink xmlns:r="http://schemas.openxmlformats.org/officeDocument/2006/relationships" ref="F20" r:id="rId12"/>
    <hyperlink xmlns:r="http://schemas.openxmlformats.org/officeDocument/2006/relationships" ref="F21" r:id="rId13"/>
    <hyperlink xmlns:r="http://schemas.openxmlformats.org/officeDocument/2006/relationships" ref="F23" r:id="rId14"/>
    <hyperlink xmlns:r="http://schemas.openxmlformats.org/officeDocument/2006/relationships" ref="F24" r:id="rId15"/>
    <hyperlink xmlns:r="http://schemas.openxmlformats.org/officeDocument/2006/relationships" ref="F26" r:id="rId16"/>
    <hyperlink xmlns:r="http://schemas.openxmlformats.org/officeDocument/2006/relationships" ref="F28" r:id="rId17"/>
    <hyperlink xmlns:r="http://schemas.openxmlformats.org/officeDocument/2006/relationships" ref="F29" r:id="rId18"/>
    <hyperlink xmlns:r="http://schemas.openxmlformats.org/officeDocument/2006/relationships" ref="F31" r:id="rId19"/>
    <hyperlink xmlns:r="http://schemas.openxmlformats.org/officeDocument/2006/relationships" ref="F33" r:id="rId20"/>
  </hyperlinks>
  <pageMargins left="0.4" right="0.4" top="0.5" bottom="0.5" header="0.5" footer="0.5"/>
  <pageSetup orientation="landscape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7" customWidth="1" min="3" max="3"/>
    <col width="12" customWidth="1" min="4" max="4"/>
    <col width="66" customWidth="1" min="5" max="5"/>
    <col width="18" customWidth="1" min="6" max="6"/>
    <col width="18" customWidth="1" min="7" max="7"/>
  </cols>
  <sheetData>
    <row r="1">
      <c r="A1" s="1" t="inlineStr">
        <is>
          <t>Decisions Required</t>
        </is>
      </c>
    </row>
    <row r="2">
      <c r="A2" s="2" t="inlineStr">
        <is>
          <t>Decisions marked SCORING or SAFETY are not cost decisions and should not be settled on cost grounds.</t>
        </is>
      </c>
    </row>
    <row r="4" ht="28" customHeight="1">
      <c r="A4" s="9" t="inlineStr">
        <is>
          <t>ID</t>
        </is>
      </c>
      <c r="B4" s="9" t="inlineStr">
        <is>
          <t>Decision</t>
        </is>
      </c>
      <c r="C4" s="9" t="inlineStr">
        <is>
          <t>Type</t>
        </is>
      </c>
      <c r="D4" s="9" t="inlineStr">
        <is>
          <t>₹ at stake</t>
        </is>
      </c>
      <c r="E4" s="9" t="inlineStr">
        <is>
          <t>Recommendation</t>
        </is>
      </c>
      <c r="F4" s="9" t="inlineStr">
        <is>
          <t>Decision taken</t>
        </is>
      </c>
      <c r="G4" s="9" t="inlineStr">
        <is>
          <t>Owner / date</t>
        </is>
      </c>
    </row>
    <row r="5" ht="52" customHeight="1">
      <c r="A5" s="65" t="inlineStr">
        <is>
          <t>D1</t>
        </is>
      </c>
      <c r="B5" s="66" t="inlineStr">
        <is>
          <t>Drop the RTK GNSS pair for non-RTK modules?</t>
        </is>
      </c>
      <c r="C5" s="67" t="inlineStr">
        <is>
          <t>SCORING</t>
        </is>
      </c>
      <c r="D5" s="68" t="n">
        <v>35000</v>
      </c>
      <c r="E5" s="69" t="inlineStr">
        <is>
          <t>REJECT. No cheaper RTK-capable equivalent exists, and dropping RTK moves geotag from ~1.3 m to ~3.1 m — roughly 125 of 200 points. Separately, confirm RTK with Teravolt: their product page does not claim it.</t>
        </is>
      </c>
      <c r="F5" s="70" t="n"/>
      <c r="G5" s="70" t="n"/>
    </row>
    <row r="6" ht="52" customHeight="1">
      <c r="A6" s="65" t="inlineStr">
        <is>
          <t>D2</t>
        </is>
      </c>
      <c r="B6" s="66" t="inlineStr">
        <is>
          <t>Recovery parachute — no Indian supplier, nearest option undersized</t>
        </is>
      </c>
      <c r="C6" s="67" t="inlineStr">
        <is>
          <t>SAFETY</t>
        </is>
      </c>
      <c r="D6" s="68" t="n">
        <v>12000</v>
      </c>
      <c r="E6" s="71" t="inlineStr">
        <is>
          <t>RESOLVE, EXPECT TO PAY MORE. SYS-41 requires it. Nearest match is imported and rated 6.2 kg against a 6.36 kg MTOW.</t>
        </is>
      </c>
      <c r="F6" s="70" t="n"/>
      <c r="G6" s="70" t="n"/>
    </row>
    <row r="7" ht="52" customHeight="1">
      <c r="A7" s="65" t="inlineStr">
        <is>
          <t>D3</t>
        </is>
      </c>
      <c r="B7" s="66" t="inlineStr">
        <is>
          <t>Substitute AI compute for Pi 5 + AI HAT+ 26 TOPS?</t>
        </is>
      </c>
      <c r="C7" s="67" t="inlineStr">
        <is>
          <t>TECHNICAL</t>
        </is>
      </c>
      <c r="D7" s="68" t="n">
        <v>18000</v>
      </c>
      <c r="E7" s="72" t="inlineStr">
        <is>
          <t>BENCHMARK, THEN ADOPT. Meets the ≥20 TOPS spec and is the only substitution worth material money. Confirm 24 inferences/s at 640 × 640 first.</t>
        </is>
      </c>
      <c r="F7" s="70" t="n"/>
      <c r="G7" s="70" t="n"/>
    </row>
    <row r="8" ht="52" customHeight="1">
      <c r="A8" s="65" t="inlineStr">
        <is>
          <t>D4</t>
        </is>
      </c>
      <c r="B8" s="66" t="inlineStr">
        <is>
          <t>Mesh node and safety radio — no valid part selected, and the radio is underpriced</t>
        </is>
      </c>
      <c r="C8" s="67" t="inlineStr">
        <is>
          <t>SOURCING</t>
        </is>
      </c>
      <c r="D8" s="68" t="n">
        <v>-11855</v>
      </c>
      <c r="E8" s="71" t="inlineStr">
        <is>
          <t>RESELECT AND INCREASE BUDGET. The named supplier's module is 928 MHz — outside the Indian delicensed band and wrong for the mesh spec.</t>
        </is>
      </c>
      <c r="F8" s="70" t="n"/>
      <c r="G8" s="70" t="n"/>
    </row>
    <row r="9" ht="52" customHeight="1">
      <c r="A9" s="65" t="inlineStr">
        <is>
          <t>D5</t>
        </is>
      </c>
      <c r="B9" s="66" t="inlineStr">
        <is>
          <t>Substitute the Indian flight controller for a Pixhawk 6C Mini?</t>
        </is>
      </c>
      <c r="C9" s="67" t="inlineStr">
        <is>
          <t>INDIGENISATION</t>
        </is>
      </c>
      <c r="D9" s="68" t="n">
        <v>3400</v>
      </c>
      <c r="E9" s="69" t="inlineStr">
        <is>
          <t>REJECT. ₹3,400 against forfeiting a Made-in-India autopilot, before an audience that values it.</t>
        </is>
      </c>
      <c r="F9" s="70" t="n"/>
      <c r="G9" s="70" t="n"/>
    </row>
    <row r="10" ht="52" customHeight="1">
      <c r="A10" s="65" t="inlineStr">
        <is>
          <t>D6</t>
        </is>
      </c>
      <c r="B10" s="66" t="inlineStr">
        <is>
          <t>Obtain quotes for the four unpriced lines</t>
        </is>
      </c>
      <c r="C10" s="67" t="inlineStr">
        <is>
          <t>COMMERCIAL</t>
        </is>
      </c>
      <c r="D10" s="68" t="inlineStr">
        <is>
          <t>—</t>
        </is>
      </c>
      <c r="E10" s="73" t="inlineStr">
        <is>
          <t>MANDATORY. Flight controller, motor, cells, camera — four of the six largest lines. Until quoted, ₹2,64,400 is an estimate.</t>
        </is>
      </c>
      <c r="F10" s="70" t="n"/>
      <c r="G10" s="70" t="n"/>
    </row>
    <row r="11" ht="52" customHeight="1">
      <c r="A11" s="65" t="inlineStr">
        <is>
          <t>D7</t>
        </is>
      </c>
      <c r="B11" s="66" t="inlineStr">
        <is>
          <t>Re-run the sizing model on measured masses before substituting</t>
        </is>
      </c>
      <c r="C11" s="67" t="inlineStr">
        <is>
          <t>TECHNICAL</t>
        </is>
      </c>
      <c r="D11" s="68" t="inlineStr">
        <is>
          <t>—</t>
        </is>
      </c>
      <c r="E11" s="73" t="inlineStr">
        <is>
          <t>MANDATORY IF SUBSTITUTING. MTOW, endurance, thrust-to-weight and the 25 kg fleet margin are unvalidated for any changed part.</t>
        </is>
      </c>
      <c r="F11" s="70" t="n"/>
      <c r="G11" s="70" t="n"/>
    </row>
  </sheetData>
  <pageMargins left="0.4" right="0.4" top="0.5" bottom="0.5" header="0.5" footer="0.5"/>
  <pageSetup orientation="landscape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F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6" customWidth="1" min="3" max="3"/>
    <col width="5" customWidth="1" min="4" max="4"/>
    <col width="10" customWidth="1" min="5" max="5"/>
    <col width="10" customWidth="1" min="6" max="6"/>
  </cols>
  <sheetData>
    <row r="2">
      <c r="B2" s="1" t="inlineStr">
        <is>
          <t>What ₹40,000 Actually Buys</t>
        </is>
      </c>
    </row>
    <row r="3">
      <c r="B3" s="2" t="inlineStr">
        <is>
          <t>Specified so the answer is checkable. This is not a cheaper RescueSwarm — it is a different, much smaller aircraft.</t>
        </is>
      </c>
    </row>
    <row r="5" ht="28" customHeight="1">
      <c r="A5" s="9" t="inlineStr"/>
      <c r="B5" s="9" t="inlineStr">
        <is>
          <t>Item</t>
        </is>
      </c>
      <c r="C5" s="9" t="inlineStr">
        <is>
          <t>Part class</t>
        </is>
      </c>
      <c r="D5" s="9" t="inlineStr">
        <is>
          <t>Qty</t>
        </is>
      </c>
      <c r="E5" s="9" t="inlineStr">
        <is>
          <t>Unit ₹</t>
        </is>
      </c>
      <c r="F5" s="9" t="inlineStr">
        <is>
          <t>Ext ₹</t>
        </is>
      </c>
    </row>
    <row r="6" ht="15" customHeight="1">
      <c r="B6" s="10" t="inlineStr">
        <is>
          <t>Frame</t>
        </is>
      </c>
      <c r="C6" s="12" t="inlineStr">
        <is>
          <t>450 mm CF/glass quad kit</t>
        </is>
      </c>
      <c r="D6" s="74" t="n">
        <v>1</v>
      </c>
      <c r="E6" s="75" t="n">
        <v>2500</v>
      </c>
      <c r="F6" s="75">
        <f>D6*E6</f>
        <v/>
      </c>
    </row>
    <row r="7" ht="15" customHeight="1">
      <c r="B7" s="10" t="inlineStr">
        <is>
          <t>Motor</t>
        </is>
      </c>
      <c r="C7" s="12" t="inlineStr">
        <is>
          <t>2216-class 900–950 KV</t>
        </is>
      </c>
      <c r="D7" s="74" t="n">
        <v>4</v>
      </c>
      <c r="E7" s="75" t="n">
        <v>600</v>
      </c>
      <c r="F7" s="75">
        <f>D7*E7</f>
        <v/>
      </c>
    </row>
    <row r="8" ht="15" customHeight="1">
      <c r="B8" s="10" t="inlineStr">
        <is>
          <t>ESC</t>
        </is>
      </c>
      <c r="C8" s="12" t="inlineStr">
        <is>
          <t>4-in-1 30 A</t>
        </is>
      </c>
      <c r="D8" s="74" t="n">
        <v>1</v>
      </c>
      <c r="E8" s="75" t="n">
        <v>2500</v>
      </c>
      <c r="F8" s="75">
        <f>D8*E8</f>
        <v/>
      </c>
    </row>
    <row r="9" ht="15" customHeight="1">
      <c r="B9" s="10" t="inlineStr">
        <is>
          <t>Propeller</t>
        </is>
      </c>
      <c r="C9" s="12" t="inlineStr">
        <is>
          <t>10 in plastic, CW/CCW</t>
        </is>
      </c>
      <c r="D9" s="74" t="n">
        <v>2</v>
      </c>
      <c r="E9" s="75" t="n">
        <v>150</v>
      </c>
      <c r="F9" s="75">
        <f>D9*E9</f>
        <v/>
      </c>
    </row>
    <row r="10" ht="15" customHeight="1">
      <c r="B10" s="10" t="inlineStr">
        <is>
          <t>Flight controller</t>
        </is>
      </c>
      <c r="C10" s="12" t="inlineStr">
        <is>
          <t>F405-class, ArduPilot-capable</t>
        </is>
      </c>
      <c r="D10" s="74" t="n">
        <v>1</v>
      </c>
      <c r="E10" s="75" t="n">
        <v>4500</v>
      </c>
      <c r="F10" s="75">
        <f>D10*E10</f>
        <v/>
      </c>
    </row>
    <row r="11" ht="15" customHeight="1">
      <c r="B11" s="10" t="inlineStr">
        <is>
          <t>GNSS</t>
        </is>
      </c>
      <c r="C11" s="12" t="inlineStr">
        <is>
          <t>M10, non-RTK</t>
        </is>
      </c>
      <c r="D11" s="74" t="n">
        <v>1</v>
      </c>
      <c r="E11" s="75" t="n">
        <v>2500</v>
      </c>
      <c r="F11" s="75">
        <f>D11*E11</f>
        <v/>
      </c>
    </row>
    <row r="12" ht="15" customHeight="1">
      <c r="B12" s="10" t="inlineStr">
        <is>
          <t>Battery</t>
        </is>
      </c>
      <c r="C12" s="12" t="inlineStr">
        <is>
          <t>4S 5200 mAh LiPo</t>
        </is>
      </c>
      <c r="D12" s="74" t="n">
        <v>2</v>
      </c>
      <c r="E12" s="75" t="n">
        <v>3500</v>
      </c>
      <c r="F12" s="75">
        <f>D12*E12</f>
        <v/>
      </c>
    </row>
    <row r="13" ht="15" customHeight="1">
      <c r="B13" s="10" t="inlineStr">
        <is>
          <t>RC receiver</t>
        </is>
      </c>
      <c r="C13" s="12" t="inlineStr">
        <is>
          <t>ELRS 2.4 GHz</t>
        </is>
      </c>
      <c r="D13" s="74" t="n">
        <v>1</v>
      </c>
      <c r="E13" s="75" t="n">
        <v>1200</v>
      </c>
      <c r="F13" s="75">
        <f>D13*E13</f>
        <v/>
      </c>
    </row>
    <row r="14" ht="15" customHeight="1">
      <c r="B14" s="10" t="inlineStr">
        <is>
          <t>Telemetry radio</t>
        </is>
      </c>
      <c r="C14" s="12" t="inlineStr">
        <is>
          <t>915 MHz pair</t>
        </is>
      </c>
      <c r="D14" s="74" t="n">
        <v>1</v>
      </c>
      <c r="E14" s="75" t="n">
        <v>2000</v>
      </c>
      <c r="F14" s="75">
        <f>D14*E14</f>
        <v/>
      </c>
    </row>
    <row r="15" ht="15" customHeight="1">
      <c r="B15" s="10" t="inlineStr">
        <is>
          <t>Camera + compute</t>
        </is>
      </c>
      <c r="C15" s="12" t="inlineStr">
        <is>
          <t>Pi Zero 2 W + CSI camera — streaming only</t>
        </is>
      </c>
      <c r="D15" s="74" t="n">
        <v>1</v>
      </c>
      <c r="E15" s="75" t="n">
        <v>4500</v>
      </c>
      <c r="F15" s="75">
        <f>D15*E15</f>
        <v/>
      </c>
    </row>
    <row r="16" ht="15" customHeight="1">
      <c r="B16" s="10" t="inlineStr">
        <is>
          <t>Release servo</t>
        </is>
      </c>
      <c r="C16" s="12" t="inlineStr">
        <is>
          <t>Single station + printed catch</t>
        </is>
      </c>
      <c r="D16" s="74" t="n">
        <v>1</v>
      </c>
      <c r="E16" s="75" t="n">
        <v>700</v>
      </c>
      <c r="F16" s="75">
        <f>D16*E16</f>
        <v/>
      </c>
    </row>
    <row r="17" ht="15" customHeight="1">
      <c r="B17" s="10" t="inlineStr">
        <is>
          <t>PDB, wiring, connectors</t>
        </is>
      </c>
      <c r="C17" s="12" t="inlineStr">
        <is>
          <t>Commodity</t>
        </is>
      </c>
      <c r="D17" s="74" t="n">
        <v>1</v>
      </c>
      <c r="E17" s="75" t="n">
        <v>1800</v>
      </c>
      <c r="F17" s="75">
        <f>D17*E17</f>
        <v/>
      </c>
    </row>
    <row r="18" ht="15" customHeight="1">
      <c r="B18" s="10" t="inlineStr">
        <is>
          <t>Fasteners, standoffs</t>
        </is>
      </c>
      <c r="C18" s="12" t="inlineStr">
        <is>
          <t>Commodity</t>
        </is>
      </c>
      <c r="D18" s="74" t="n">
        <v>1</v>
      </c>
      <c r="E18" s="75" t="n">
        <v>1000</v>
      </c>
      <c r="F18" s="75">
        <f>D18*E18</f>
        <v/>
      </c>
    </row>
    <row r="19" ht="15" customHeight="1">
      <c r="B19" s="10" t="inlineStr">
        <is>
          <t>Test-campaign spares</t>
        </is>
      </c>
      <c r="C19" s="12" t="inlineStr">
        <is>
          <t>Props, arms, spare pack</t>
        </is>
      </c>
      <c r="D19" s="74" t="n">
        <v>1</v>
      </c>
      <c r="E19" s="75" t="n">
        <v>2500</v>
      </c>
      <c r="F19" s="75">
        <f>D19*E19</f>
        <v/>
      </c>
    </row>
    <row r="20">
      <c r="B20" s="56" t="inlineStr">
        <is>
          <t>TOTAL</t>
        </is>
      </c>
      <c r="C20" s="32" t="n"/>
      <c r="D20" s="32" t="n"/>
      <c r="E20" s="32" t="n"/>
      <c r="F20" s="57">
        <f>SUM(F6:F19)</f>
        <v/>
      </c>
    </row>
    <row r="22" ht="20" customHeight="1">
      <c r="A22" s="4" t="inlineStr">
        <is>
          <t xml:space="preserve">  WHAT IT CANNOT DO — each line is a requirement or rulebook failure</t>
        </is>
      </c>
      <c r="B22" s="5" t="n"/>
      <c r="C22" s="5" t="n"/>
      <c r="D22" s="5" t="n"/>
      <c r="E22" s="5" t="n"/>
      <c r="F22" s="5" t="n"/>
    </row>
    <row r="23" ht="22" customHeight="1">
      <c r="B23" s="25" t="inlineStr">
        <is>
          <t>Carry 4 × 200 g kits</t>
        </is>
      </c>
      <c r="C23" s="12" t="inlineStr">
        <is>
          <t>800 g of payload on a ~1.3 kg airframe. Rule C6 fixes the kit at exactly 200 g.</t>
        </is>
      </c>
      <c r="D23" s="17" t="n"/>
      <c r="E23" s="17" t="n"/>
      <c r="F23" s="17" t="n"/>
    </row>
    <row r="24" ht="22" customHeight="1">
      <c r="B24" s="25" t="inlineStr">
        <is>
          <t>SYS-14  15 min hover</t>
        </is>
      </c>
      <c r="C24" s="12" t="inlineStr">
        <is>
          <t>Not at that payload fraction on a 4S 5200 pack.</t>
        </is>
      </c>
      <c r="D24" s="17" t="n"/>
      <c r="E24" s="17" t="n"/>
      <c r="F24" s="17" t="n"/>
    </row>
    <row r="25" ht="22" customHeight="1">
      <c r="B25" s="25" t="inlineStr">
        <is>
          <t>SYS-41  parachute</t>
        </is>
      </c>
      <c r="C25" s="12" t="inlineStr">
        <is>
          <t>None fitted, and no mass budget to add one.</t>
        </is>
      </c>
      <c r="D25" s="17" t="n"/>
      <c r="E25" s="17" t="n"/>
      <c r="F25" s="17" t="n"/>
    </row>
    <row r="26" ht="22" customHeight="1">
      <c r="B26" s="25" t="inlineStr">
        <is>
          <t>Rule 8.14  live feed</t>
        </is>
      </c>
      <c r="C26" s="12" t="inlineStr">
        <is>
          <t>A Pi Zero 2 W cannot encode three concurrent H.264 feeds in 2.5 Mbps.</t>
        </is>
      </c>
      <c r="D26" s="17" t="n"/>
      <c r="E26" s="17" t="n"/>
      <c r="F26" s="17" t="n"/>
    </row>
    <row r="27" ht="22" customHeight="1">
      <c r="B27" s="25" t="inlineStr">
        <is>
          <t>Detection at 2 Hz</t>
        </is>
      </c>
      <c r="C27" s="12" t="inlineStr">
        <is>
          <t>No NPU or GPU. The §8.2 tiling budget is unreachable.</t>
        </is>
      </c>
      <c r="D27" s="17" t="n"/>
      <c r="E27" s="17" t="n"/>
      <c r="F27" s="17" t="n"/>
    </row>
    <row r="28" ht="22" customHeight="1">
      <c r="B28" s="25" t="inlineStr">
        <is>
          <t>Geotag accuracy</t>
        </is>
      </c>
      <c r="C28" s="12" t="inlineStr">
        <is>
          <t>Non-RTK gives ~3.1 m vs ~1.3 m. Roughly 125 of 200 points forfeited.</t>
        </is>
      </c>
      <c r="D28" s="17" t="n"/>
      <c r="E28" s="17" t="n"/>
      <c r="F28" s="17" t="n"/>
    </row>
    <row r="29" ht="22" customHeight="1">
      <c r="B29" s="25" t="inlineStr">
        <is>
          <t>SYS-04  T/W 2.0</t>
        </is>
      </c>
      <c r="C29" s="12" t="inlineStr">
        <is>
          <t>Loaded, nowhere near 2.0.</t>
        </is>
      </c>
      <c r="D29" s="17" t="n"/>
      <c r="E29" s="17" t="n"/>
      <c r="F29" s="17" t="n"/>
    </row>
    <row r="30" ht="22" customHeight="1">
      <c r="B30" s="25" t="inlineStr">
        <is>
          <t>600 m range</t>
        </is>
      </c>
      <c r="C30" s="12" t="inlineStr">
        <is>
          <t>Single 915 MHz link, no mesh, no redundant safety radio.</t>
        </is>
      </c>
      <c r="D30" s="17" t="n"/>
      <c r="E30" s="17" t="n"/>
      <c r="F30" s="17" t="n"/>
    </row>
    <row r="32" ht="20" customHeight="1">
      <c r="A32" s="4" t="inlineStr">
        <is>
          <t xml:space="preserve">  THE RECOMMENDATION</t>
        </is>
      </c>
      <c r="B32" s="5" t="n"/>
      <c r="C32" s="5" t="n"/>
      <c r="D32" s="5" t="n"/>
      <c r="E32" s="5" t="n"/>
      <c r="F32" s="5" t="n"/>
    </row>
    <row r="33" ht="14" customHeight="1">
      <c r="B33" s="18" t="inlineStr">
        <is>
          <t>Not a competition entry — but a genuinely useful DEVELOPMENT MULE.</t>
        </is>
      </c>
    </row>
    <row r="34" ht="14" customHeight="1">
      <c r="B34" s="21" t="inlineStr"/>
    </row>
    <row r="35" ht="14" customHeight="1">
      <c r="B35" s="21" t="inlineStr">
        <is>
          <t>The binding constraint on this programme is an 8-week flight-test window, currently budgeted entirely</t>
        </is>
      </c>
    </row>
    <row r="36" ht="14" customHeight="1">
      <c r="B36" s="21" t="inlineStr">
        <is>
          <t>on an aircraft that does not exist yet and cannot be risked once it does. A mule flies from week 1 and</t>
        </is>
      </c>
    </row>
    <row r="37" ht="14" customHeight="1">
      <c r="B37" s="21" t="inlineStr">
        <is>
          <t>absorbs the work that does not need the real airframe: ground-station integration against a real</t>
        </is>
      </c>
    </row>
    <row r="38" ht="14" customHeight="1">
      <c r="B38" s="21" t="inlineStr">
        <is>
          <t>MAVLink stream, the multi-aircraft radio path with real radios, pilot currency, the 5-minute setup</t>
        </is>
      </c>
    </row>
    <row r="39" ht="14" customHeight="1">
      <c r="B39" s="21" t="inlineStr">
        <is>
          <t>drill (currently modelled rather than measured), failsafe behaviour on real hardware, and</t>
        </is>
      </c>
    </row>
    <row r="40" ht="14" customHeight="1">
      <c r="B40" s="21" t="inlineStr">
        <is>
          <t>crash-and-rebuild practice.</t>
        </is>
      </c>
    </row>
    <row r="41" ht="14" customHeight="1">
      <c r="B41" s="21" t="inlineStr"/>
    </row>
    <row r="42" ht="14" customHeight="1">
      <c r="B42" s="21" t="inlineStr">
        <is>
          <t>Three mules cost about one AI compute module.</t>
        </is>
      </c>
    </row>
    <row r="43" ht="14" customHeight="1">
      <c r="B43" s="21" t="inlineStr"/>
    </row>
    <row r="44" ht="14" customHeight="1">
      <c r="B44" s="18" t="inlineStr">
        <is>
          <t>RECOMMENDATION: do not pursue a ₹40,000 competition aircraft. Do consider ₹40,000 mules as</t>
        </is>
      </c>
    </row>
    <row r="45" ht="14" customHeight="1">
      <c r="B45" s="21" t="inlineStr">
        <is>
          <t>flight-test infrastructure, funded from contingency rather than the airframe budget.</t>
        </is>
      </c>
    </row>
  </sheetData>
  <mergeCells count="21">
    <mergeCell ref="C23:F23"/>
    <mergeCell ref="C28:F28"/>
    <mergeCell ref="B43:F43"/>
    <mergeCell ref="B39:F39"/>
    <mergeCell ref="B42:F42"/>
    <mergeCell ref="C30:F30"/>
    <mergeCell ref="C24:F24"/>
    <mergeCell ref="B44:F44"/>
    <mergeCell ref="B38:F38"/>
    <mergeCell ref="B34:F34"/>
    <mergeCell ref="C26:F26"/>
    <mergeCell ref="C29:F29"/>
    <mergeCell ref="B37:F37"/>
    <mergeCell ref="C25:F25"/>
    <mergeCell ref="B40:F40"/>
    <mergeCell ref="B33:F33"/>
    <mergeCell ref="B45:F45"/>
    <mergeCell ref="B36:F36"/>
    <mergeCell ref="C27:F27"/>
    <mergeCell ref="B41:F41"/>
    <mergeCell ref="B35:F35"/>
  </mergeCells>
  <pageMargins left="0.4" right="0.4" top="0.5" bottom="0.5" header="0.5" footer="0.5"/>
  <pageSetup orientation="portrait" fitToHeight="0" fitToWidth="1"/>
  <headerFooter>
    <oddHeader/>
    <oddFooter>&amp;LRescueSwarm Cost Study rev C · 2026-08-11&amp;R&amp;P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2026-08-10T20:13:59Z</dcterms:created>
  <dcterms:modified xmlns:dcterms="http://purl.org/dc/terms/" xmlns:xsi="http://www.w3.org/2001/XMLSchema-instance" xsi:type="dcterms:W3CDTF">2026-08-10T20:13:59Z</dcterms:modified>
</cp:coreProperties>
</file>