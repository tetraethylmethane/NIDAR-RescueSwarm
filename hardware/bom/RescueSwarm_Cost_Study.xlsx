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mary" sheetId="1" state="visible" r:id="rId1"/>
    <sheet xmlns:r="http://schemas.openxmlformats.org/officeDocument/2006/relationships" name="01 Which BOM Is Right" sheetId="2" state="visible" r:id="rId2"/>
    <sheet xmlns:r="http://schemas.openxmlformats.org/officeDocument/2006/relationships" name="02 Options Compared" sheetId="3" state="visible" r:id="rId3"/>
    <sheet xmlns:r="http://schemas.openxmlformats.org/officeDocument/2006/relationships" name="03 Recommended BOM" sheetId="4" state="visible" r:id="rId4"/>
    <sheet xmlns:r="http://schemas.openxmlformats.org/officeDocument/2006/relationships" name="04 Evidence" sheetId="5" state="visible" r:id="rId5"/>
    <sheet xmlns:r="http://schemas.openxmlformats.org/officeDocument/2006/relationships" name="05 Decisions" sheetId="6" state="visible" r:id="rId6"/>
    <sheet xmlns:r="http://schemas.openxmlformats.org/officeDocument/2006/relationships" name="06 What 40k Buys" sheetId="7" state="visible" r:id="rId7"/>
  </sheets>
  <definedNames>
    <definedName name="_xlnm.Print_Titles" localSheetId="2">'02 Options Compared'!$1:$5</definedName>
    <definedName name="_xlnm.Print_Titles" localSheetId="3">'03 Recommended BOM'!$1:$4</definedName>
    <definedName name="_xlnm.Print_Titles" localSheetId="4">'04 Evidence'!$1:$4</definedName>
    <definedName name="_xlnm.Print_Titles" localSheetId="5">'05 Decisions'!$1:$4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7F7F7F"/>
      <sz val="9"/>
    </font>
    <font>
      <name val="Calibri"/>
      <b val="1"/>
      <color rgb="00C00000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b val="1"/>
      <color rgb="001F3864"/>
      <sz val="12"/>
    </font>
    <font>
      <name val="Calibri"/>
      <b val="1"/>
      <color rgb="00000000"/>
      <sz val="9"/>
    </font>
    <font>
      <name val="Calibri"/>
      <b val="1"/>
      <color rgb="00833C00"/>
      <sz val="10"/>
    </font>
    <font>
      <name val="Calibri"/>
      <b val="1"/>
      <color rgb="001F3864"/>
      <sz val="10"/>
    </font>
    <font>
      <name val="Calibri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BE4E0"/>
      </patternFill>
    </fill>
    <fill>
      <patternFill patternType="solid">
        <fgColor rgb="00F2F2F2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6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3" fontId="0" fillId="4" borderId="1" pivotButton="0" quotePrefix="0" xfId="0"/>
    <xf numFmtId="164" fontId="0" fillId="4" borderId="1" pivotButton="0" quotePrefix="0" xfId="0"/>
    <xf numFmtId="0" fontId="6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3" fontId="0" fillId="5" borderId="1" pivotButton="0" quotePrefix="0" xfId="0"/>
    <xf numFmtId="164" fontId="0" fillId="5" borderId="1" pivotButton="0" quotePrefix="0" xfId="0"/>
    <xf numFmtId="0" fontId="6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6" fillId="5" borderId="0" pivotButton="0" quotePrefix="0" xfId="0"/>
    <xf numFmtId="0" fontId="0" fillId="5" borderId="0" pivotButton="0" quotePrefix="0" xfId="0"/>
    <xf numFmtId="3" fontId="6" fillId="5" borderId="0" pivotButton="0" quotePrefix="0" xfId="0"/>
    <xf numFmtId="0" fontId="3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vertical="top" wrapText="1"/>
    </xf>
    <xf numFmtId="0" fontId="8" fillId="7" borderId="1" pivotButton="0" quotePrefix="0" xfId="0"/>
    <xf numFmtId="0" fontId="0" fillId="7" borderId="1" pivotButton="0" quotePrefix="0" xfId="0"/>
    <xf numFmtId="3" fontId="8" fillId="7" borderId="1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0" fontId="9" fillId="5" borderId="0" pivotButton="0" quotePrefix="0" xfId="0"/>
    <xf numFmtId="0" fontId="12" fillId="5" borderId="0" pivotButton="0" quotePrefix="0" xfId="0"/>
    <xf numFmtId="0" fontId="8" fillId="5" borderId="0" applyAlignment="1" pivotButton="0" quotePrefix="0" xfId="0">
      <alignment vertical="top" wrapText="1"/>
    </xf>
    <xf numFmtId="0" fontId="13" fillId="8" borderId="0" pivotButton="0" quotePrefix="0" xfId="0"/>
    <xf numFmtId="0" fontId="0" fillId="8" borderId="0" pivotButton="0" quotePrefix="0" xfId="0"/>
    <xf numFmtId="0" fontId="8" fillId="0" borderId="1" applyAlignment="1" pivotButton="0" quotePrefix="0" xfId="0">
      <alignment horizontal="center" vertical="top"/>
    </xf>
    <xf numFmtId="0" fontId="14" fillId="0" borderId="1" applyAlignment="1" pivotButton="0" quotePrefix="0" xfId="0">
      <alignment horizontal="center" vertical="top"/>
    </xf>
    <xf numFmtId="3" fontId="8" fillId="0" borderId="1" pivotButton="0" quotePrefix="0" xfId="0"/>
    <xf numFmtId="0" fontId="8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3" fontId="8" fillId="4" borderId="1" pivotButton="0" quotePrefix="0" xfId="0"/>
    <xf numFmtId="0" fontId="0" fillId="0" borderId="1" applyAlignment="1" pivotButton="0" quotePrefix="0" xfId="0">
      <alignment horizontal="center" vertical="top"/>
    </xf>
    <xf numFmtId="0" fontId="14" fillId="4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14" fillId="6" borderId="1" applyAlignment="1" pivotButton="0" quotePrefix="0" xfId="0">
      <alignment horizontal="center" vertical="top"/>
    </xf>
    <xf numFmtId="3" fontId="8" fillId="6" borderId="1" pivotButton="0" quotePrefix="0" xfId="0"/>
    <xf numFmtId="0" fontId="14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4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eflexdrive.in/product/rd-mi-5008-motor/" TargetMode="External" Id="rId1"/><Relationship Type="http://schemas.openxmlformats.org/officeDocument/2006/relationships/hyperlink" Target="https://reflexdrive.in/product/rd-a-series-foc-esc-60a/" TargetMode="External" Id="rId2"/><Relationship Type="http://schemas.openxmlformats.org/officeDocument/2006/relationships/hyperlink" Target="https://uavgarage.com/product-brand/reflex-drive/" TargetMode="External" Id="rId3"/><Relationship Type="http://schemas.openxmlformats.org/officeDocument/2006/relationships/hyperlink" Target="https://reflexdrive.in/" TargetMode="External" Id="rId4"/><Relationship Type="http://schemas.openxmlformats.org/officeDocument/2006/relationships/hyperlink" Target="https://www.agamrobotics.com/product-page/agam-pixhawk-6x-full-set" TargetMode="External" Id="rId5"/><Relationship Type="http://schemas.openxmlformats.org/officeDocument/2006/relationships/hyperlink" Target="https://vegaprocessors.in/" TargetMode="External" Id="rId6"/><Relationship Type="http://schemas.openxmlformats.org/officeDocument/2006/relationships/hyperlink" Target="https://teravoltlabs.com/" TargetMode="External" Id="rId7"/><Relationship Type="http://schemas.openxmlformats.org/officeDocument/2006/relationships/hyperlink" Target="https://www.accord-soft.com/" TargetMode="External" Id="rId8"/><Relationship Type="http://schemas.openxmlformats.org/officeDocument/2006/relationships/hyperlink" Target="https://zerodrag.in/" TargetMode="External" Id="rId9"/><Relationship Type="http://schemas.openxmlformats.org/officeDocument/2006/relationships/hyperlink" Target="https://godiindia.com/" TargetMode="External" Id="rId10"/><Relationship Type="http://schemas.openxmlformats.org/officeDocument/2006/relationships/hyperlink" Target="https://www.flamebacktech.com/" TargetMode="External" Id="rId11"/><Relationship Type="http://schemas.openxmlformats.org/officeDocument/2006/relationships/hyperlink" Target="https://www.flamebacktech.com/" TargetMode="External" Id="rId12"/><Relationship Type="http://schemas.openxmlformats.org/officeDocument/2006/relationships/hyperlink" Target="https://www.agamrobotics.com/product-page/agam-pixhawk-6x-full-set" TargetMode="External" Id="rId13"/><Relationship Type="http://schemas.openxmlformats.org/officeDocument/2006/relationships/hyperlink" Target="https://www.flamebacktech.com/" TargetMode="External" Id="rId14"/><Relationship Type="http://schemas.openxmlformats.org/officeDocument/2006/relationships/hyperlink" Target="https://polycab.com/" TargetMode="External" Id="rId15"/><Relationship Type="http://schemas.openxmlformats.org/officeDocument/2006/relationships/hyperlink" Target="https://robu.in/" TargetMode="External" Id="rId16"/><Relationship Type="http://schemas.openxmlformats.org/officeDocument/2006/relationships/hyperlink" Target="https://www.agamrobotics.com/drone-components" TargetMode="External" Id="rId17"/><Relationship Type="http://schemas.openxmlformats.org/officeDocument/2006/relationships/hyperlink" Target="https://www.e-consystems.com/" TargetMode="External" Id="rId18"/><Relationship Type="http://schemas.openxmlformats.org/officeDocument/2006/relationships/hyperlink" Target="https://www.e-consystems.com/cameramodule.asp" TargetMode="External" Id="rId19"/><Relationship Type="http://schemas.openxmlformats.org/officeDocument/2006/relationships/hyperlink" Target="https://www.e-consystems.com/cameramodule.asp" TargetMode="External" Id="rId20"/><Relationship Type="http://schemas.openxmlformats.org/officeDocument/2006/relationships/hyperlink" Target="https://robu.in/" TargetMode="External" Id="rId21"/><Relationship Type="http://schemas.openxmlformats.org/officeDocument/2006/relationships/hyperlink" Target="https://www.kineco.in/" TargetMode="External" Id="rId22"/><Relationship Type="http://schemas.openxmlformats.org/officeDocument/2006/relationships/hyperlink" Target="https://www.fracktal.in/" TargetMode="External" Id="rId23"/><Relationship Type="http://schemas.openxmlformats.org/officeDocument/2006/relationships/hyperlink" Target="https://www.sundram.com/" TargetMode="External" Id="rId24"/><Relationship Type="http://schemas.openxmlformats.org/officeDocument/2006/relationships/hyperlink" Target="https://fxuav.in/" TargetMode="External" Id="rId25"/><Relationship Type="http://schemas.openxmlformats.org/officeDocument/2006/relationships/hyperlink" Target="https://fxuav.in/" TargetMode="External" Id="rId26"/><Relationship Type="http://schemas.openxmlformats.org/officeDocument/2006/relationships/hyperlink" Target="https://zerodrag.in/" TargetMode="External" Id="rId27"/><Relationship Type="http://schemas.openxmlformats.org/officeDocument/2006/relationships/hyperlink" Target="https://robu.in/" TargetMode="External" Id="rId2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gamrobotics.com/product-page/agam-pixhawk-6x-full-set" TargetMode="External" Id="rId1"/><Relationship Type="http://schemas.openxmlformats.org/officeDocument/2006/relationships/hyperlink" Target="https://www.indiamart.com/proddetail/pixhawk-6c-mini-flight-controller-2852778303248.html" TargetMode="External" Id="rId2"/><Relationship Type="http://schemas.openxmlformats.org/officeDocument/2006/relationships/hyperlink" Target="https://reflexdrive.in/product/rd-mi-5008-motor/" TargetMode="External" Id="rId3"/><Relationship Type="http://schemas.openxmlformats.org/officeDocument/2006/relationships/hyperlink" Target="https://www.uavmarketplace.in/products/t-motors-mn5008-kv170/895789000017087249" TargetMode="External" Id="rId4"/><Relationship Type="http://schemas.openxmlformats.org/officeDocument/2006/relationships/hyperlink" Target="https://reflexdrive.in/product/rd-a-series-foc-esc-60a/" TargetMode="External" Id="rId5"/><Relationship Type="http://schemas.openxmlformats.org/officeDocument/2006/relationships/hyperlink" Target="https://robu.in/product/raspberry-pi-ai-hat-26-tops/" TargetMode="External" Id="rId6"/><Relationship Type="http://schemas.openxmlformats.org/officeDocument/2006/relationships/hyperlink" Target="https://robu.in/product/raspberry-pi-5-model-8gb/" TargetMode="External" Id="rId7"/><Relationship Type="http://schemas.openxmlformats.org/officeDocument/2006/relationships/hyperlink" Target="https://robu.in/product/arducam-12mp-imx477-motorized-focus-high-quality-camera-for-raspberry-pi/" TargetMode="External" Id="rId8"/><Relationship Type="http://schemas.openxmlformats.org/officeDocument/2006/relationships/hyperlink" Target="https://robokits.co.in/batteries-chargers/li-ion-cells/3.7v-21700-li-ion-cell/molicel-4500mah-10c-lithium-ion-battery-inr21700-p45b" TargetMode="External" Id="rId9"/><Relationship Type="http://schemas.openxmlformats.org/officeDocument/2006/relationships/hyperlink" Target="https://www.xboom.in/shop/drones/drone-components/transmission/rfd-868ux-ind-long-range-modem-bundle/" TargetMode="External" Id="rId10"/><Relationship Type="http://schemas.openxmlformats.org/officeDocument/2006/relationships/hyperlink" Target="https://robokits.co.in/multirotor-spare-parts/fpv-video-telemetry-camera/rfd868x-32-bit-arm-ultra-long-range-telemetry-modem-original" TargetMode="External" Id="rId11"/><Relationship Type="http://schemas.openxmlformats.org/officeDocument/2006/relationships/hyperlink" Target="https://www.teravolt.in/product-page/aeronav-1-dual-band-gnss" TargetMode="External" Id="rId12"/><Relationship Type="http://schemas.openxmlformats.org/officeDocument/2006/relationships/hyperlink" Target="https://vegaprocessors.in/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2">
      <c r="B2" s="1" t="inlineStr">
        <is>
          <t>RescueSwarm — Air Vehicle Cost Study</t>
        </is>
      </c>
    </row>
    <row r="3">
      <c r="B3" s="2" t="inlineStr">
        <is>
          <t>Revision D · 2026-08-11 · NIDAR 2026–27 · Track 1</t>
        </is>
      </c>
    </row>
    <row r="4">
      <c r="B4" s="3" t="inlineStr">
        <is>
          <t>FOR REVIEW AND DECISION — not a purchase order</t>
        </is>
      </c>
    </row>
    <row r="6" ht="20" customHeight="1">
      <c r="A6" s="4" t="inlineStr">
        <is>
          <t xml:space="preserve">  IN ONE PARAGRAPH</t>
        </is>
      </c>
      <c r="B6" s="5" t="n"/>
      <c r="C6" s="5" t="n"/>
      <c r="D6" s="5" t="n"/>
      <c r="E6" s="5" t="n"/>
      <c r="F6" s="5" t="n"/>
    </row>
    <row r="7">
      <c r="B7" s="6" t="inlineStr">
        <is>
          <t>Two different bills of materials exist in this folder and they disagree by ₹26,146 per aircraft. The newer one is right, and it says the aircraft costs more than we have been quoting, not less. Separately, one line is underpriced by ₹11,855 in both. Real savings do exist: ₹31,545 per aircraft comes out without losing anything that scores. ₹40,000 remains unreachable by a wide margin.</t>
        </is>
      </c>
    </row>
    <row r="8"/>
    <row r="9"/>
    <row r="11" ht="20" customHeight="1">
      <c r="A11" s="4" t="inlineStr">
        <is>
          <t xml:space="preserve">  THE THREE OPTIONS</t>
        </is>
      </c>
      <c r="B11" s="5" t="n"/>
      <c r="C11" s="5" t="n"/>
      <c r="D11" s="5" t="n"/>
      <c r="E11" s="5" t="n"/>
      <c r="F11" s="5" t="n"/>
    </row>
    <row r="12" ht="30" customHeight="1">
      <c r="B12" s="7" t="inlineStr"/>
      <c r="C12" s="7" t="inlineStr">
        <is>
          <t>Option A</t>
        </is>
      </c>
      <c r="D12" s="7" t="inlineStr">
        <is>
          <t>Option B</t>
        </is>
      </c>
      <c r="E12" s="7" t="inlineStr">
        <is>
          <t>Option C</t>
        </is>
      </c>
      <c r="F12" s="7" t="inlineStr"/>
    </row>
    <row r="13" ht="30" customHeight="1">
      <c r="B13" s="8" t="inlineStr">
        <is>
          <t>What it is</t>
        </is>
      </c>
      <c r="C13" s="9" t="inlineStr">
        <is>
          <t>All-Indian,
as verified</t>
        </is>
      </c>
      <c r="D13" s="10" t="inlineStr">
        <is>
          <t>RECOMMENDED
best value</t>
        </is>
      </c>
      <c r="E13" s="9" t="inlineStr">
        <is>
          <t>Lowest cost
possible</t>
        </is>
      </c>
      <c r="F13" s="11" t="inlineStr"/>
    </row>
    <row r="14" ht="17" customHeight="1">
      <c r="B14" s="8" t="inlineStr">
        <is>
          <t>Cost per aircraft</t>
        </is>
      </c>
      <c r="C14" s="12" t="n">
        <v>290546</v>
      </c>
      <c r="D14" s="13" t="n">
        <v>259001</v>
      </c>
      <c r="E14" s="12" t="n">
        <v>207295</v>
      </c>
      <c r="F14" s="11" t="inlineStr"/>
    </row>
    <row r="15" ht="17" customHeight="1">
      <c r="B15" s="8" t="inlineStr">
        <is>
          <t>Fleet ×3</t>
        </is>
      </c>
      <c r="C15" s="14" t="n">
        <v>871638</v>
      </c>
      <c r="D15" s="15" t="n">
        <v>777003</v>
      </c>
      <c r="E15" s="14" t="n">
        <v>621885</v>
      </c>
      <c r="F15" s="11" t="inlineStr"/>
    </row>
    <row r="16" ht="17" customHeight="1">
      <c r="B16" s="8" t="inlineStr">
        <is>
          <t>vs Option A</t>
        </is>
      </c>
      <c r="C16" s="14" t="n">
        <v>0</v>
      </c>
      <c r="D16" s="15" t="n">
        <v>-31545</v>
      </c>
      <c r="E16" s="14" t="n">
        <v>-83251</v>
      </c>
      <c r="F16" s="11" t="inlineStr"/>
    </row>
    <row r="17" ht="17" customHeight="1">
      <c r="B17" s="8" t="inlineStr">
        <is>
          <t>Indian content</t>
        </is>
      </c>
      <c r="C17" s="9" t="inlineStr">
        <is>
          <t>highest</t>
        </is>
      </c>
      <c r="D17" s="16" t="inlineStr">
        <is>
          <t>high</t>
        </is>
      </c>
      <c r="E17" s="9" t="inlineStr">
        <is>
          <t>reduced</t>
        </is>
      </c>
      <c r="F17" s="11" t="inlineStr">
        <is>
          <t>Option C imports the cells and the autopilot</t>
        </is>
      </c>
    </row>
    <row r="18" ht="17" customHeight="1">
      <c r="B18" s="8" t="inlineStr">
        <is>
          <t>Scored capability</t>
        </is>
      </c>
      <c r="C18" s="9" t="inlineStr">
        <is>
          <t>full</t>
        </is>
      </c>
      <c r="D18" s="16" t="inlineStr">
        <is>
          <t>full</t>
        </is>
      </c>
      <c r="E18" s="9" t="inlineStr">
        <is>
          <t>REDUCED</t>
        </is>
      </c>
      <c r="F18" s="11" t="inlineStr">
        <is>
          <t>Option C drops moving-baseline yaw: ~125 of 200 geotag points</t>
        </is>
      </c>
    </row>
    <row r="20">
      <c r="B20" s="17" t="inlineStr">
        <is>
          <t>Option B saves ₹31,545 per aircraft — ₹94,635 across the fleet — with no loss of scored capability.</t>
        </is>
      </c>
    </row>
    <row r="22" ht="20" customHeight="1">
      <c r="A22" s="4" t="inlineStr">
        <is>
          <t xml:space="preserve">  WHAT WE FOUND</t>
        </is>
      </c>
      <c r="B22" s="5" t="n"/>
      <c r="C22" s="5" t="n"/>
      <c r="D22" s="5" t="n"/>
      <c r="E22" s="5" t="n"/>
      <c r="F22" s="5" t="n"/>
    </row>
    <row r="23" ht="16" customHeight="1">
      <c r="B23" s="18" t="inlineStr">
        <is>
          <t>1.  The newer BOM is the correct one</t>
        </is>
      </c>
    </row>
    <row r="24" ht="26" customHeight="1">
      <c r="B24" s="19" t="inlineStr">
        <is>
          <t>It names exact parts with live product links and publishes measured thrust data. The older one names suppliers only. Cost per aircraft is ₹2,90,546, not ₹2,64,400.</t>
        </is>
      </c>
    </row>
    <row r="25" ht="16" customHeight="1">
      <c r="B25" s="18" t="inlineStr">
        <is>
          <t>2.  The safety radio is underpriced in both</t>
        </is>
      </c>
    </row>
    <row r="26" ht="26" customHeight="1">
      <c r="B26" s="19" t="inlineStr">
        <is>
          <t>₹7,500 does not buy a compliant 865–867 MHz link. The India-legal part implies about ₹19,355. Add ₹11,855 per aircraft.</t>
        </is>
      </c>
    </row>
    <row r="27" ht="16" customHeight="1">
      <c r="B27" s="18" t="inlineStr">
        <is>
          <t>3.  One substitution is worth ₹35,000</t>
        </is>
      </c>
    </row>
    <row r="28" ht="26" customHeight="1">
      <c r="B28" s="19" t="inlineStr">
        <is>
          <t>Replacing the AI compute module with a Raspberry Pi 5 + AI HAT+ 26 TOPS. It meets the ≥20 TOPS specification. Benchmark it first.</t>
        </is>
      </c>
    </row>
    <row r="29" ht="16" customHeight="1">
      <c r="B29" s="18" t="inlineStr">
        <is>
          <t>4.  ₹40,000 per aircraft is not reachable</t>
        </is>
      </c>
    </row>
    <row r="30" ht="26" customHeight="1">
      <c r="B30" s="19" t="inlineStr">
        <is>
          <t>Propulsion and power alone are ₹81,896 — more than twice the target — before any frame, avionics, camera, radio or parachute.</t>
        </is>
      </c>
    </row>
    <row r="32" ht="20" customHeight="1">
      <c r="A32" s="4" t="inlineStr">
        <is>
          <t xml:space="preserve">  WHAT TO DO NEXT</t>
        </is>
      </c>
      <c r="B32" s="5" t="n"/>
      <c r="C32" s="5" t="n"/>
      <c r="D32" s="5" t="n"/>
      <c r="E32" s="5" t="n"/>
      <c r="F32" s="5" t="n"/>
    </row>
    <row r="33" ht="16" customHeight="1">
      <c r="B33" s="20" t="inlineStr">
        <is>
          <t>1.  Adopt Option B as the working cost basis (₹259,001 per aircraft).</t>
        </is>
      </c>
    </row>
    <row r="34" ht="16" customHeight="1">
      <c r="B34" s="20" t="inlineStr">
        <is>
          <t>2.  Increase the safety-radio budget by ₹11,855 and choose a compliant part.</t>
        </is>
      </c>
    </row>
    <row r="35" ht="16" customHeight="1">
      <c r="B35" s="20" t="inlineStr">
        <is>
          <t>3.  Benchmark the Pi 5 + AI HAT+ before committing to the ₹35,000 saving.</t>
        </is>
      </c>
    </row>
    <row r="36" ht="16" customHeight="1">
      <c r="B36" s="20" t="inlineStr">
        <is>
          <t>4.  Retire the older BOM, or mark it superseded, so only one is in use.</t>
        </is>
      </c>
    </row>
    <row r="37" ht="16" customHeight="1">
      <c r="B37" s="20" t="inlineStr">
        <is>
          <t>5.  Re-run the sizing model: the newer BOM is a 17 in propeller aircraft, not 18 in.</t>
        </is>
      </c>
    </row>
    <row r="39" ht="20" customHeight="1">
      <c r="A39" s="4" t="inlineStr">
        <is>
          <t xml:space="preserve">  HOW TO READ THE REST</t>
        </is>
      </c>
      <c r="B39" s="5" t="n"/>
      <c r="C39" s="5" t="n"/>
      <c r="D39" s="5" t="n"/>
      <c r="E39" s="5" t="n"/>
      <c r="F39" s="5" t="n"/>
    </row>
    <row r="40" ht="15" customHeight="1">
      <c r="B40" s="18" t="inlineStr">
        <is>
          <t>01 Which BOM Is Right</t>
        </is>
      </c>
      <c r="C40" s="21" t="inlineStr">
        <is>
          <t>The two BOMs compared line by line, and why the newer one wins.</t>
        </is>
      </c>
    </row>
    <row r="41" ht="15" customHeight="1">
      <c r="B41" s="18" t="inlineStr">
        <is>
          <t>02 Options Compared</t>
        </is>
      </c>
      <c r="C41" s="21" t="inlineStr">
        <is>
          <t>Every change available, its price under A/B/C, and what it costs you.</t>
        </is>
      </c>
    </row>
    <row r="42" ht="15" customHeight="1">
      <c r="B42" s="18" t="inlineStr">
        <is>
          <t>03 Recommended BOM</t>
        </is>
      </c>
      <c r="C42" s="21" t="inlineStr">
        <is>
          <t>Option B in full: 41 lines, exact parts, live links.</t>
        </is>
      </c>
    </row>
    <row r="43" ht="15" customHeight="1">
      <c r="B43" s="18" t="inlineStr">
        <is>
          <t>04 Evidence</t>
        </is>
      </c>
      <c r="C43" s="21" t="inlineStr">
        <is>
          <t>Every price with its source URL and date.</t>
        </is>
      </c>
    </row>
    <row r="44" ht="15" customHeight="1">
      <c r="B44" s="18" t="inlineStr">
        <is>
          <t>05 Decisions</t>
        </is>
      </c>
      <c r="C44" s="21" t="inlineStr">
        <is>
          <t>Six decisions with space to record the call and sign.</t>
        </is>
      </c>
    </row>
    <row r="45" ht="15" customHeight="1">
      <c r="B45" s="18" t="inlineStr">
        <is>
          <t>06 What ₹40k Buys</t>
        </is>
      </c>
      <c r="C45" s="21" t="inlineStr">
        <is>
          <t>A real ₹35,400 aircraft and the eight requirements it fails.</t>
        </is>
      </c>
    </row>
    <row r="47">
      <c r="B47" s="18" t="inlineStr">
        <is>
          <t>Prepared ____________________     Reviewed ____________________     Date __________</t>
        </is>
      </c>
    </row>
  </sheetData>
  <mergeCells count="22">
    <mergeCell ref="B47:F47"/>
    <mergeCell ref="B7:F9"/>
    <mergeCell ref="B25:F25"/>
    <mergeCell ref="B27:F27"/>
    <mergeCell ref="B23:F23"/>
    <mergeCell ref="C42:F42"/>
    <mergeCell ref="B29:F29"/>
    <mergeCell ref="C45:F45"/>
    <mergeCell ref="B34:F34"/>
    <mergeCell ref="B28:F28"/>
    <mergeCell ref="B37:F37"/>
    <mergeCell ref="C41:F41"/>
    <mergeCell ref="C44:F44"/>
    <mergeCell ref="B30:F30"/>
    <mergeCell ref="C40:F40"/>
    <mergeCell ref="B24:F24"/>
    <mergeCell ref="B20:F20"/>
    <mergeCell ref="B33:F33"/>
    <mergeCell ref="C43:F43"/>
    <mergeCell ref="B36:F36"/>
    <mergeCell ref="B26:F26"/>
    <mergeCell ref="B35:F35"/>
  </mergeCells>
  <pageMargins left="0.4" right="0.4" top="0.5" bottom="0.5" header="0.5" footer="0.5"/>
  <pageSetup orientation="portrait" fitToHeight="0" fitToWidth="1"/>
  <headerFooter>
    <oddHeader/>
    <oddFooter>&amp;LRescueSwarm Cost Study rev D · 2026-08-11&amp;R&amp;P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34" customWidth="1" min="4" max="4"/>
    <col width="10" customWidth="1" min="5" max="5"/>
    <col width="10" customWidth="1" min="6" max="6"/>
    <col width="62" customWidth="1" min="7" max="7"/>
  </cols>
  <sheetData>
    <row r="1">
      <c r="A1" s="1" t="inlineStr">
        <is>
          <t>Which BOM is right?</t>
        </is>
      </c>
    </row>
    <row r="2">
      <c r="A2" s="2" t="inlineStr">
        <is>
          <t>Two files describe this aircraft. They disagree by ₹26,146 per aircraft. This tab shows where, and which figure to trust.</t>
        </is>
      </c>
    </row>
    <row r="4" ht="30" customHeight="1">
      <c r="A4" s="7" t="inlineStr">
        <is>
          <t>Line</t>
        </is>
      </c>
      <c r="B4" s="7" t="inlineStr">
        <is>
          <t>Older BOM (India)</t>
        </is>
      </c>
      <c r="C4" s="7" t="inlineStr">
        <is>
          <t>₹</t>
        </is>
      </c>
      <c r="D4" s="7" t="inlineStr">
        <is>
          <t>Newer BOM (Verified)</t>
        </is>
      </c>
      <c r="E4" s="7" t="inlineStr">
        <is>
          <t>₹</t>
        </is>
      </c>
      <c r="F4" s="7" t="inlineStr">
        <is>
          <t>Δ</t>
        </is>
      </c>
      <c r="G4" s="7" t="inlineStr">
        <is>
          <t>Which is right, and why</t>
        </is>
      </c>
    </row>
    <row r="5" ht="38" customHeight="1">
      <c r="A5" s="22" t="inlineStr">
        <is>
          <t>Flight controller</t>
        </is>
      </c>
      <c r="B5" s="23" t="inlineStr">
        <is>
          <t>Agam V6X-RT, bare board</t>
        </is>
      </c>
      <c r="C5" s="24" t="n">
        <v>26000</v>
      </c>
      <c r="D5" s="23" t="inlineStr">
        <is>
          <t>Agam V6X-RT FULL SET (incl. power module)</t>
        </is>
      </c>
      <c r="E5" s="24" t="n">
        <v>42000</v>
      </c>
      <c r="F5" s="25" t="n">
        <v>16000</v>
      </c>
      <c r="G5" s="23" t="inlineStr">
        <is>
          <t>NEWER. The Full Set is ₹42,000 incl. 5% GST and bundles the Digital Power Module, IMU board, carrier, SD and cables. Confirmed on the manufacturer's product page.</t>
        </is>
      </c>
    </row>
    <row r="6" ht="38" customHeight="1">
      <c r="A6" s="22" t="inlineStr">
        <is>
          <t>Power module</t>
        </is>
      </c>
      <c r="B6" s="23" t="inlineStr">
        <is>
          <t>separate line</t>
        </is>
      </c>
      <c r="C6" s="24" t="n">
        <v>2800</v>
      </c>
      <c r="D6" s="23" t="inlineStr">
        <is>
          <t>included in the Full Set</t>
        </is>
      </c>
      <c r="E6" s="24" t="n">
        <v>0</v>
      </c>
      <c r="F6" s="25" t="n">
        <v>-2800</v>
      </c>
      <c r="G6" s="23" t="inlineStr">
        <is>
          <t>NEWER. Buying it separately double-counts it.</t>
        </is>
      </c>
    </row>
    <row r="7" ht="38" customHeight="1">
      <c r="A7" s="22" t="inlineStr">
        <is>
          <t>Motor</t>
        </is>
      </c>
      <c r="B7" s="23" t="inlineStr">
        <is>
          <t>Bharath 150KV (no published price)</t>
        </is>
      </c>
      <c r="C7" s="24" t="n">
        <v>7000</v>
      </c>
      <c r="D7" s="23" t="inlineStr">
        <is>
          <t>Reflex Drive RD MI-5008 KV340</t>
        </is>
      </c>
      <c r="E7" s="24" t="n">
        <v>9099</v>
      </c>
      <c r="F7" s="25" t="n">
        <v>2099</v>
      </c>
      <c r="G7" s="23" t="inlineStr">
        <is>
          <t>NEWER. ₹9,099 is a listed price on the maker's own product page, and Reflex Drive publishes measured thrust. ₹7,000 was never sourced.</t>
        </is>
      </c>
    </row>
    <row r="8" ht="38" customHeight="1">
      <c r="A8" s="22" t="inlineStr">
        <is>
          <t>ESC</t>
        </is>
      </c>
      <c r="B8" s="23" t="inlineStr">
        <is>
          <t>Flameback (catalogue: 30–45 A)</t>
        </is>
      </c>
      <c r="C8" s="24" t="n">
        <v>3000</v>
      </c>
      <c r="D8" s="23" t="inlineStr">
        <is>
          <t>Reflex Drive RD A-Series 60 A FOC</t>
        </is>
      </c>
      <c r="E8" s="24" t="n">
        <v>3400</v>
      </c>
      <c r="F8" s="25" t="n">
        <v>400</v>
      </c>
      <c r="G8" s="23" t="inlineStr">
        <is>
          <t>NEWER. The requirement is 60 A. The older line's supplier does not advertise a 60 A part.</t>
        </is>
      </c>
    </row>
    <row r="9" ht="38" customHeight="1">
      <c r="A9" s="22" t="inlineStr">
        <is>
          <t>Propeller</t>
        </is>
      </c>
      <c r="B9" s="23" t="inlineStr">
        <is>
          <t>S R Aerospace 18×6.1 folding, ×2</t>
        </is>
      </c>
      <c r="C9" s="24" t="n">
        <v>4400</v>
      </c>
      <c r="D9" s="23" t="inlineStr">
        <is>
          <t>Reflex Drive RD 1760, 17×6.0, ×4</t>
        </is>
      </c>
      <c r="E9" s="24" t="n">
        <v>5600</v>
      </c>
      <c r="F9" s="25" t="n">
        <v>1200</v>
      </c>
      <c r="G9" s="23" t="inlineStr">
        <is>
          <t>NEWER on sourcing, but NOTE THE DESIGN CHANGE: 17 in, not 18 in. The sizing model still assumes 18 in.</t>
        </is>
      </c>
    </row>
    <row r="10" ht="38" customHeight="1">
      <c r="A10" s="26" t="inlineStr">
        <is>
          <t>AI compute</t>
        </is>
      </c>
      <c r="B10" s="27" t="inlineStr">
        <is>
          <t>Orin Nano class</t>
        </is>
      </c>
      <c r="C10" s="28" t="n">
        <v>38000</v>
      </c>
      <c r="D10" s="27" t="inlineStr">
        <is>
          <t>Edge AI module ≥20 TOPS</t>
        </is>
      </c>
      <c r="E10" s="28" t="n">
        <v>55000</v>
      </c>
      <c r="F10" s="29" t="n">
        <v>17000</v>
      </c>
      <c r="G10" s="27" t="inlineStr">
        <is>
          <t>NEITHER IS SOURCED. Both are placeholders. See tab 02 — a ₹20,000 part meets the spec.</t>
        </is>
      </c>
    </row>
    <row r="11" ht="38" customHeight="1">
      <c r="A11" s="30" t="inlineStr">
        <is>
          <t>Camera</t>
        </is>
      </c>
      <c r="B11" s="11" t="inlineStr">
        <is>
          <t>e-con e-CAM121_CUONX</t>
        </is>
      </c>
      <c r="C11" s="31" t="n">
        <v>14000</v>
      </c>
      <c r="D11" s="11" t="inlineStr">
        <is>
          <t>e-con e-CAM137A_CUMI1335_MOD</t>
        </is>
      </c>
      <c r="E11" s="31" t="n">
        <v>14000</v>
      </c>
      <c r="F11" s="32" t="n">
        <v>0</v>
      </c>
      <c r="G11" s="11" t="inlineStr">
        <is>
          <t>Same price, different part number. The newer one names a specific module.</t>
        </is>
      </c>
    </row>
    <row r="12" ht="38" customHeight="1">
      <c r="A12" s="30" t="inlineStr">
        <is>
          <t>Everything else</t>
        </is>
      </c>
      <c r="B12" s="11" t="inlineStr">
        <is>
          <t>—</t>
        </is>
      </c>
      <c r="C12" s="33" t="n"/>
      <c r="D12" s="11" t="inlineStr">
        <is>
          <t>—</t>
        </is>
      </c>
      <c r="E12" s="33" t="n"/>
      <c r="F12" s="33" t="n"/>
      <c r="G12" s="11" t="inlineStr">
        <is>
          <t>Broadly agrees.</t>
        </is>
      </c>
    </row>
    <row r="14">
      <c r="A14" s="34" t="inlineStr">
        <is>
          <t>TOTAL PER AIRCRAFT</t>
        </is>
      </c>
      <c r="B14" s="35" t="n"/>
      <c r="C14" s="36" t="n">
        <v>264400</v>
      </c>
      <c r="D14" s="35" t="n"/>
      <c r="E14" s="36" t="n">
        <v>290546</v>
      </c>
      <c r="F14" s="36" t="n">
        <v>26146</v>
      </c>
      <c r="G14" s="37" t="inlineStr">
        <is>
          <t>The aircraft costs MORE than currently published, not less.</t>
        </is>
      </c>
    </row>
    <row r="16">
      <c r="A16" s="38" t="inlineStr">
        <is>
          <t>One thing the newer BOM changes that nobody has signed off</t>
        </is>
      </c>
    </row>
    <row r="17" ht="30" customHeight="1">
      <c r="A17" s="6" t="inlineStr">
        <is>
          <t>It is built on 17 in propellers, not 18 in, and its README says the design point was 'revised to fit real Indian parts'. Mass drops from 6,236 g to 5,780 g. docs/sizing/, the cost model and bom_reconcile.py all still describe the 18 in aircraft. Adopting the newer BOM means re-running the sizing model, not just changing a price.</t>
        </is>
      </c>
    </row>
    <row r="18"/>
  </sheetData>
  <mergeCells count="2">
    <mergeCell ref="A17:G18"/>
    <mergeCell ref="A16:G16"/>
  </mergeCells>
  <pageMargins left="0.4" right="0.4" top="0.5" bottom="0.5" header="0.5" footer="0.5"/>
  <pageSetup orientation="landscape" fitToHeight="0" fitToWidth="1"/>
  <headerFooter>
    <oddHeader/>
    <oddFooter>&amp;LRescueSwarm Cost Study rev D · 2026-08-11&amp;R&amp;P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13" customWidth="1" min="3" max="3"/>
    <col width="15" customWidth="1" min="4" max="4"/>
    <col width="12" customWidth="1" min="5" max="5"/>
    <col width="34" customWidth="1" min="6" max="6"/>
    <col width="30" customWidth="1" min="7" max="7"/>
    <col width="60" customWidth="1" min="8" max="8"/>
  </cols>
  <sheetData>
    <row r="1">
      <c r="A1" s="1" t="inlineStr">
        <is>
          <t>Every change available, and what it costs you</t>
        </is>
      </c>
    </row>
    <row r="2">
      <c r="A2" s="2" t="inlineStr">
        <is>
          <t>Option A = all-Indian as verified · Option B = RECOMMENDED · Option C = lowest cost possible</t>
        </is>
      </c>
    </row>
    <row r="3">
      <c r="A3" s="39" t="inlineStr">
        <is>
          <t>Green = safe saving · Amber = conditional · Red = a cost INCREASE, or a saving that costs score</t>
        </is>
      </c>
    </row>
    <row r="5" ht="30" customHeight="1">
      <c r="A5" s="7" t="inlineStr">
        <is>
          <t>Line</t>
        </is>
      </c>
      <c r="B5" s="7" t="inlineStr">
        <is>
          <t>Qty</t>
        </is>
      </c>
      <c r="C5" s="7" t="inlineStr">
        <is>
          <t>A: verified ₹</t>
        </is>
      </c>
      <c r="D5" s="7" t="inlineStr">
        <is>
          <t>B: recommended ₹</t>
        </is>
      </c>
      <c r="E5" s="7" t="inlineStr">
        <is>
          <t>C: lowest ₹</t>
        </is>
      </c>
      <c r="F5" s="7" t="inlineStr">
        <is>
          <t>What changes in B</t>
        </is>
      </c>
      <c r="G5" s="7" t="inlineStr">
        <is>
          <t>What changes further in C</t>
        </is>
      </c>
      <c r="H5" s="7" t="inlineStr">
        <is>
          <t>What it costs you</t>
        </is>
      </c>
    </row>
    <row r="6" ht="32" customHeight="1">
      <c r="A6" s="22" t="inlineStr">
        <is>
          <t>AI compute module</t>
        </is>
      </c>
      <c r="B6" s="40" t="n">
        <v>1</v>
      </c>
      <c r="C6" s="41" t="n">
        <v>55000</v>
      </c>
      <c r="D6" s="41" t="n">
        <v>20000</v>
      </c>
      <c r="E6" s="41" t="n">
        <v>20000</v>
      </c>
      <c r="F6" s="23" t="inlineStr">
        <is>
          <t>Raspberry Pi 5 8GB + AI HAT+ 26 TOPS (Hailo-8)</t>
        </is>
      </c>
      <c r="G6" s="23" t="inlineStr">
        <is>
          <t>same</t>
        </is>
      </c>
      <c r="H6" s="23" t="inlineStr">
        <is>
          <t>Must hit 24 inferences/s at 640x640. Benchmark before buying.</t>
        </is>
      </c>
    </row>
    <row r="7" ht="32" customHeight="1">
      <c r="A7" s="26" t="inlineStr">
        <is>
          <t>Flight controller</t>
        </is>
      </c>
      <c r="B7" s="42" t="n">
        <v>1</v>
      </c>
      <c r="C7" s="43" t="n">
        <v>42000</v>
      </c>
      <c r="D7" s="43" t="n">
        <v>42000</v>
      </c>
      <c r="E7" s="43" t="n">
        <v>22600</v>
      </c>
      <c r="F7" s="27" t="inlineStr">
        <is>
          <t>keep Agam V6X-RT Full Set</t>
        </is>
      </c>
      <c r="G7" s="27" t="inlineStr">
        <is>
          <t>Holybro Pixhawk 6C Mini</t>
        </is>
      </c>
      <c r="H7" s="27" t="inlineStr">
        <is>
          <t>Option C forfeits a Made-in-India autopilot to save 19,400. Not recommended.</t>
        </is>
      </c>
    </row>
    <row r="8" ht="32" customHeight="1">
      <c r="A8" s="22" t="inlineStr">
        <is>
          <t>Motor</t>
        </is>
      </c>
      <c r="B8" s="40" t="n">
        <v>4</v>
      </c>
      <c r="C8" s="41" t="n">
        <v>36396</v>
      </c>
      <c r="D8" s="41" t="n">
        <v>36396</v>
      </c>
      <c r="E8" s="41" t="n">
        <v>28000</v>
      </c>
      <c r="F8" s="23" t="inlineStr">
        <is>
          <t>keep Reflex Drive RD MI-5008</t>
        </is>
      </c>
      <c r="G8" s="23" t="inlineStr">
        <is>
          <t>Bharath 150KV BLDC</t>
        </is>
      </c>
      <c r="H8" s="23" t="inlineStr">
        <is>
          <t>Option C price is UNPUBLISHED. Reflex Drive publishes measured thrust; Bharath does not.</t>
        </is>
      </c>
    </row>
    <row r="9" ht="32" customHeight="1">
      <c r="A9" s="22" t="inlineStr">
        <is>
          <t>Camera module</t>
        </is>
      </c>
      <c r="B9" s="40" t="n">
        <v>1</v>
      </c>
      <c r="C9" s="41" t="n">
        <v>14000</v>
      </c>
      <c r="D9" s="41" t="n">
        <v>9600</v>
      </c>
      <c r="E9" s="41" t="n">
        <v>9600</v>
      </c>
      <c r="F9" s="23" t="inlineStr">
        <is>
          <t>Arducam 12MP IMX477</t>
        </is>
      </c>
      <c r="G9" s="23" t="inlineStr">
        <is>
          <t>same</t>
        </is>
      </c>
      <c r="H9" s="23" t="inlineStr">
        <is>
          <t>Loses e-con ISP tuning. Re-measure ground sample distance and low light.</t>
        </is>
      </c>
    </row>
    <row r="10" ht="32" customHeight="1">
      <c r="A10" s="26" t="inlineStr">
        <is>
          <t>Li-ion cell</t>
        </is>
      </c>
      <c r="B10" s="42" t="n">
        <v>18</v>
      </c>
      <c r="C10" s="43" t="n">
        <v>12600</v>
      </c>
      <c r="D10" s="43" t="n">
        <v>12600</v>
      </c>
      <c r="E10" s="43" t="n">
        <v>7290</v>
      </c>
      <c r="F10" s="27" t="inlineStr">
        <is>
          <t>keep GODI (BIS-certified, Indian)</t>
        </is>
      </c>
      <c r="G10" s="27" t="inlineStr">
        <is>
          <t>Molicel INR-21700-P45B</t>
        </is>
      </c>
      <c r="H10" s="27" t="inlineStr">
        <is>
          <t>Option C saves 5,310 and takes the largest Indian-content line to zero.</t>
        </is>
      </c>
    </row>
    <row r="11" ht="32" customHeight="1">
      <c r="A11" s="26" t="inlineStr">
        <is>
          <t>GNSS secondary</t>
        </is>
      </c>
      <c r="B11" s="42" t="n">
        <v>1</v>
      </c>
      <c r="C11" s="43" t="n">
        <v>17000</v>
      </c>
      <c r="D11" s="43" t="n">
        <v>17000</v>
      </c>
      <c r="E11" s="43" t="n">
        <v>0</v>
      </c>
      <c r="F11" s="27" t="inlineStr">
        <is>
          <t>keep</t>
        </is>
      </c>
      <c r="G11" s="27" t="inlineStr">
        <is>
          <t>delete</t>
        </is>
      </c>
      <c r="H11" s="27" t="inlineStr">
        <is>
          <t>Option C loses moving-baseline yaw. Geotag 1.3 m -&gt; ~3.1 m, about 125 of 200 points.</t>
        </is>
      </c>
    </row>
    <row r="12" ht="32" customHeight="1">
      <c r="A12" s="22" t="inlineStr">
        <is>
          <t>GNSS antennas</t>
        </is>
      </c>
      <c r="B12" s="40" t="n">
        <v>2</v>
      </c>
      <c r="C12" s="41" t="n">
        <v>6400</v>
      </c>
      <c r="D12" s="41" t="n">
        <v>4000</v>
      </c>
      <c r="E12" s="41" t="n">
        <v>4000</v>
      </c>
      <c r="F12" s="23" t="inlineStr">
        <is>
          <t>commodity multi-band L1/L5 patch</t>
        </is>
      </c>
      <c r="G12" s="23" t="inlineStr">
        <is>
          <t>same</t>
        </is>
      </c>
      <c r="H12" s="23" t="inlineStr">
        <is>
          <t>Antenna quality limits RTK fix time. Cheapest is a false economy; 2,000 is mid-range.</t>
        </is>
      </c>
    </row>
    <row r="13" ht="32" customHeight="1">
      <c r="A13" s="22" t="inlineStr">
        <is>
          <t>ESC</t>
        </is>
      </c>
      <c r="B13" s="40" t="n">
        <v>4</v>
      </c>
      <c r="C13" s="41" t="n">
        <v>13600</v>
      </c>
      <c r="D13" s="41" t="n">
        <v>13600</v>
      </c>
      <c r="E13" s="41" t="n">
        <v>12000</v>
      </c>
      <c r="F13" s="23" t="inlineStr">
        <is>
          <t>keep Reflex Drive RD A-Series 60 A FOC</t>
        </is>
      </c>
      <c r="G13" s="23" t="inlineStr">
        <is>
          <t>Flameback ESC</t>
        </is>
      </c>
      <c r="H13" s="23" t="inlineStr">
        <is>
          <t>Flameback's catalogue advertises 30-45 A against a 60 A requirement. Confirm before ordering.</t>
        </is>
      </c>
    </row>
    <row r="14" ht="32" customHeight="1">
      <c r="A14" s="22" t="inlineStr">
        <is>
          <t>Storage</t>
        </is>
      </c>
      <c r="B14" s="40" t="n">
        <v>1</v>
      </c>
      <c r="C14" s="41" t="n">
        <v>2800</v>
      </c>
      <c r="D14" s="41" t="n">
        <v>1200</v>
      </c>
      <c r="E14" s="41" t="n">
        <v>1200</v>
      </c>
      <c r="F14" s="23" t="inlineStr">
        <is>
          <t>256 GB industrial SD</t>
        </is>
      </c>
      <c r="G14" s="23" t="inlineStr">
        <is>
          <t>same</t>
        </is>
      </c>
      <c r="H14" s="23" t="inlineStr">
        <is>
          <t>Slower raw-imagery write. Confirm it sustains the capture rate.</t>
        </is>
      </c>
    </row>
    <row r="15" ht="32" customHeight="1">
      <c r="A15" s="44" t="inlineStr">
        <is>
          <t>Sub-GHz safety link</t>
        </is>
      </c>
      <c r="B15" s="45" t="n">
        <v>1</v>
      </c>
      <c r="C15" s="46" t="n">
        <v>7500</v>
      </c>
      <c r="D15" s="46" t="n">
        <v>19355</v>
      </c>
      <c r="E15" s="46" t="n">
        <v>19355</v>
      </c>
      <c r="F15" s="47" t="inlineStr">
        <is>
          <t>RFDesign RFD 868ux-IND</t>
        </is>
      </c>
      <c r="G15" s="47" t="inlineStr">
        <is>
          <t>same</t>
        </is>
      </c>
      <c r="H15" s="47" t="inlineStr">
        <is>
          <t>INCREASE. 7,500 does not buy a compliant 865-867 MHz link. Applies to every option.</t>
        </is>
      </c>
    </row>
    <row r="16">
      <c r="A16" s="48" t="inlineStr">
        <is>
          <t>Everything else, unchanged</t>
        </is>
      </c>
      <c r="B16" s="49" t="n"/>
      <c r="C16" s="50" t="n">
        <v>83250</v>
      </c>
      <c r="D16" s="50" t="n">
        <v>83250</v>
      </c>
      <c r="E16" s="50" t="n">
        <v>83250</v>
      </c>
      <c r="F16" s="49" t="n"/>
      <c r="G16" s="49" t="n"/>
      <c r="H16" s="49" t="n"/>
    </row>
    <row r="17" ht="20" customHeight="1">
      <c r="A17" s="34" t="inlineStr">
        <is>
          <t>TOTAL PER AIRCRAFT</t>
        </is>
      </c>
      <c r="B17" s="35" t="n"/>
      <c r="C17" s="51" t="n">
        <v>290546</v>
      </c>
      <c r="D17" s="51" t="n">
        <v>259001</v>
      </c>
      <c r="E17" s="51" t="n">
        <v>207295</v>
      </c>
      <c r="F17" s="52" t="inlineStr">
        <is>
          <t>saves ₹31,545</t>
        </is>
      </c>
      <c r="G17" s="53" t="inlineStr">
        <is>
          <t>saves ₹83,251</t>
        </is>
      </c>
      <c r="H17" s="54" t="inlineStr">
        <is>
          <t>Option C gives up ~125 of 200 geotag points and the Made-in-India autopilot.</t>
        </is>
      </c>
    </row>
    <row r="19">
      <c r="A19" s="38" t="inlineStr">
        <is>
          <t>Why Option B is the recommendation</t>
        </is>
      </c>
    </row>
    <row r="20" ht="15" customHeight="1">
      <c r="A20" s="20" t="inlineStr">
        <is>
          <t>•  It takes every saving that costs nothing that scores: ₹31,545 per aircraft, ₹94,635 across the fleet.</t>
        </is>
      </c>
    </row>
    <row r="21" ht="15" customHeight="1">
      <c r="A21" s="20" t="inlineStr">
        <is>
          <t>•  It keeps the RTK pair, so the 200 geotag points stay reachable.</t>
        </is>
      </c>
    </row>
    <row r="22" ht="15" customHeight="1">
      <c r="A22" s="20" t="inlineStr">
        <is>
          <t>•  It keeps the Made-in-India autopilot and the Indian cells, so the indigenisation argument stays intact.</t>
        </is>
      </c>
    </row>
    <row r="23" ht="15" customHeight="1">
      <c r="A23" s="20" t="inlineStr">
        <is>
          <t>•  It corrects the safety radio upward, because the current figure does not buy a legal link.</t>
        </is>
      </c>
    </row>
    <row r="24" ht="15" customHeight="1">
      <c r="A24" s="20" t="inlineStr">
        <is>
          <t>•  Its one risk is the AI compute substitution, which is worth ₹35,000 and must be benchmarked first.</t>
        </is>
      </c>
    </row>
  </sheetData>
  <mergeCells count="6">
    <mergeCell ref="A21:H21"/>
    <mergeCell ref="A20:H20"/>
    <mergeCell ref="A24:H24"/>
    <mergeCell ref="A19:H19"/>
    <mergeCell ref="A23:H23"/>
    <mergeCell ref="A22:H22"/>
  </mergeCells>
  <pageMargins left="0.4" right="0.4" top="0.5" bottom="0.5" header="0.5" footer="0.5"/>
  <pageSetup orientation="landscape" fitToHeight="0" fitToWidth="1"/>
  <headerFooter>
    <oddHeader/>
    <oddFooter>&amp;LRescueSwarm Cost Study rev D · 2026-08-11&amp;R&amp;P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24" customWidth="1" min="4" max="4"/>
    <col width="30" customWidth="1" min="5" max="5"/>
    <col width="13" customWidth="1" min="6" max="6"/>
    <col width="5" customWidth="1" min="7" max="7"/>
    <col width="6" customWidth="1" min="8" max="8"/>
    <col width="9" customWidth="1" min="9" max="9"/>
    <col width="10" customWidth="1" min="10" max="10"/>
    <col width="46" customWidth="1" min="11" max="11"/>
  </cols>
  <sheetData>
    <row r="1">
      <c r="A1" s="1" t="inlineStr">
        <is>
          <t>Recommended BOM — Option B</t>
        </is>
      </c>
    </row>
    <row r="2">
      <c r="A2" s="2" t="inlineStr">
        <is>
          <t>Rev D · 2026-08-11 · 259,001 per aircraft · 777,003 for the fleet of three. Changed lines are shaded.</t>
        </is>
      </c>
    </row>
    <row r="4" ht="30" customHeight="1">
      <c r="A4" s="7" t="inlineStr">
        <is>
          <t>#</t>
        </is>
      </c>
      <c r="B4" s="7" t="inlineStr">
        <is>
          <t>Component</t>
        </is>
      </c>
      <c r="C4" s="7" t="inlineStr">
        <is>
          <t>Exact part / model</t>
        </is>
      </c>
      <c r="D4" s="7" t="inlineStr">
        <is>
          <t>Supplier</t>
        </is>
      </c>
      <c r="E4" s="7" t="inlineStr">
        <is>
          <t>Link</t>
        </is>
      </c>
      <c r="F4" s="7" t="inlineStr">
        <is>
          <t>Status</t>
        </is>
      </c>
      <c r="G4" s="7" t="inlineStr">
        <is>
          <t>Qty</t>
        </is>
      </c>
      <c r="H4" s="7" t="inlineStr">
        <is>
          <t>g ea</t>
        </is>
      </c>
      <c r="I4" s="7" t="inlineStr">
        <is>
          <t>Unit ₹</t>
        </is>
      </c>
      <c r="J4" s="7" t="inlineStr">
        <is>
          <t>Ext ₹</t>
        </is>
      </c>
      <c r="K4" s="7" t="inlineStr">
        <is>
          <t>Note</t>
        </is>
      </c>
    </row>
    <row r="5" ht="16" customHeight="1">
      <c r="A5" s="55" t="inlineStr">
        <is>
          <t>PROPULSION</t>
        </is>
      </c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</row>
    <row r="6" ht="26" customHeight="1">
      <c r="A6" s="57" t="n">
        <v>1</v>
      </c>
      <c r="B6" s="11" t="inlineStr">
        <is>
          <t>Motor</t>
        </is>
      </c>
      <c r="C6" s="11" t="inlineStr">
        <is>
          <t>Reflex Drive RD MI-5008, 6S, KV340</t>
        </is>
      </c>
      <c r="D6" s="11" t="inlineStr">
        <is>
          <t>Reflex Drive / Sunmint Energy (Luc</t>
        </is>
      </c>
      <c r="E6" s="58" t="inlineStr">
        <is>
          <t>open</t>
        </is>
      </c>
      <c r="F6" s="57" t="inlineStr">
        <is>
          <t>VERIFIED</t>
        </is>
      </c>
      <c r="G6" s="57" t="n">
        <v>4</v>
      </c>
      <c r="H6" s="57" t="n">
        <v>135</v>
      </c>
      <c r="I6" s="59" t="n">
        <v>9099</v>
      </c>
      <c r="J6" s="59">
        <f>G6*I6</f>
        <v/>
      </c>
      <c r="K6" s="11" t="inlineStr"/>
    </row>
    <row r="7" ht="26" customHeight="1">
      <c r="A7" s="57" t="n">
        <v>2</v>
      </c>
      <c r="B7" s="11" t="inlineStr">
        <is>
          <t>ESC</t>
        </is>
      </c>
      <c r="C7" s="11" t="inlineStr">
        <is>
          <t>Reflex Drive RD A-Series FOC ESC 60 A</t>
        </is>
      </c>
      <c r="D7" s="11" t="inlineStr">
        <is>
          <t>Reflex Drive (Lucknow, UP)</t>
        </is>
      </c>
      <c r="E7" s="58" t="inlineStr">
        <is>
          <t>open</t>
        </is>
      </c>
      <c r="F7" s="57" t="inlineStr">
        <is>
          <t>VERIFIED</t>
        </is>
      </c>
      <c r="G7" s="57" t="n">
        <v>4</v>
      </c>
      <c r="H7" s="57" t="n">
        <v>28</v>
      </c>
      <c r="I7" s="59" t="n">
        <v>3400</v>
      </c>
      <c r="J7" s="59">
        <f>G7*I7</f>
        <v/>
      </c>
      <c r="K7" s="11" t="inlineStr"/>
    </row>
    <row r="8" ht="26" customHeight="1">
      <c r="A8" s="57" t="n">
        <v>3</v>
      </c>
      <c r="B8" s="11" t="inlineStr">
        <is>
          <t>Propeller</t>
        </is>
      </c>
      <c r="C8" s="11" t="inlineStr">
        <is>
          <t>Reflex Drive RD 1760, 17 x 6.0 in</t>
        </is>
      </c>
      <c r="D8" s="11" t="inlineStr">
        <is>
          <t>Reflex Drive (Lucknow, UP)</t>
        </is>
      </c>
      <c r="E8" s="58" t="inlineStr">
        <is>
          <t>open</t>
        </is>
      </c>
      <c r="F8" s="57" t="inlineStr">
        <is>
          <t>VERIFIED</t>
        </is>
      </c>
      <c r="G8" s="57" t="n">
        <v>4</v>
      </c>
      <c r="H8" s="57" t="n">
        <v>40</v>
      </c>
      <c r="I8" s="59" t="n">
        <v>1400</v>
      </c>
      <c r="J8" s="59">
        <f>G8*I8</f>
        <v/>
      </c>
      <c r="K8" s="11" t="inlineStr"/>
    </row>
    <row r="9" ht="26" customHeight="1">
      <c r="A9" s="57" t="n">
        <v>4</v>
      </c>
      <c r="B9" s="11" t="inlineStr">
        <is>
          <t>Prop adapter</t>
        </is>
      </c>
      <c r="C9" s="11" t="inlineStr">
        <is>
          <t>RD 6 mm self-tightening hub (with motor)</t>
        </is>
      </c>
      <c r="D9" s="11" t="inlineStr">
        <is>
          <t>Reflex Drive</t>
        </is>
      </c>
      <c r="E9" s="58" t="inlineStr">
        <is>
          <t>open</t>
        </is>
      </c>
      <c r="F9" s="57" t="inlineStr">
        <is>
          <t>SPEC OK / RFQ</t>
        </is>
      </c>
      <c r="G9" s="57" t="n">
        <v>4</v>
      </c>
      <c r="H9" s="57" t="n">
        <v>14</v>
      </c>
      <c r="I9" s="59" t="n">
        <v>450</v>
      </c>
      <c r="J9" s="59">
        <f>G9*I9</f>
        <v/>
      </c>
      <c r="K9" s="11" t="inlineStr"/>
    </row>
    <row r="10" ht="16" customHeight="1">
      <c r="A10" s="55" t="inlineStr">
        <is>
          <t>AVIONICS</t>
        </is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</row>
    <row r="11" ht="26" customHeight="1">
      <c r="A11" s="57" t="n">
        <v>5</v>
      </c>
      <c r="B11" s="11" t="inlineStr">
        <is>
          <t>Flight controller</t>
        </is>
      </c>
      <c r="C11" s="11" t="inlineStr">
        <is>
          <t>Agam Autopilot V6X-RT Full Set</t>
        </is>
      </c>
      <c r="D11" s="11" t="inlineStr">
        <is>
          <t>Agam Robotics (Bengaluru)</t>
        </is>
      </c>
      <c r="E11" s="58" t="inlineStr">
        <is>
          <t>open</t>
        </is>
      </c>
      <c r="F11" s="57" t="inlineStr">
        <is>
          <t>VERIFIED</t>
        </is>
      </c>
      <c r="G11" s="57" t="n">
        <v>1</v>
      </c>
      <c r="H11" s="57" t="n">
        <v>110</v>
      </c>
      <c r="I11" s="59" t="n">
        <v>42000</v>
      </c>
      <c r="J11" s="59">
        <f>G11*I11</f>
        <v/>
      </c>
      <c r="K11" s="11" t="inlineStr"/>
    </row>
    <row r="12" ht="26" customHeight="1">
      <c r="A12" s="57" t="n">
        <v>6</v>
      </c>
      <c r="B12" s="11" t="inlineStr">
        <is>
          <t>VEGA co-processor</t>
        </is>
      </c>
      <c r="C12" s="11" t="inlineStr">
        <is>
          <t>C-DAC VEGA RISC-V development kit</t>
        </is>
      </c>
      <c r="D12" s="11" t="inlineStr">
        <is>
          <t>C-DAC (via NIDAR)</t>
        </is>
      </c>
      <c r="E12" s="58" t="inlineStr">
        <is>
          <t>open</t>
        </is>
      </c>
      <c r="F12" s="57" t="inlineStr">
        <is>
          <t>SPEC OK / RFQ</t>
        </is>
      </c>
      <c r="G12" s="57" t="n">
        <v>1</v>
      </c>
      <c r="H12" s="57" t="n">
        <v>60</v>
      </c>
      <c r="I12" s="59" t="n">
        <v>0</v>
      </c>
      <c r="J12" s="59">
        <f>G12*I12</f>
        <v/>
      </c>
      <c r="K12" s="11" t="inlineStr"/>
    </row>
    <row r="13" ht="26" customHeight="1">
      <c r="A13" s="57" t="n">
        <v>7</v>
      </c>
      <c r="B13" s="11" t="inlineStr">
        <is>
          <t>GNSS primary</t>
        </is>
      </c>
      <c r="C13" s="11" t="inlineStr">
        <is>
          <t>Teravolt Labs AeroNav-series NavIC L1+L5 receiver</t>
        </is>
      </c>
      <c r="D13" s="11" t="inlineStr">
        <is>
          <t>Teravolt Labs (India)</t>
        </is>
      </c>
      <c r="E13" s="58" t="inlineStr">
        <is>
          <t>open</t>
        </is>
      </c>
      <c r="F13" s="57" t="inlineStr">
        <is>
          <t>RFQ</t>
        </is>
      </c>
      <c r="G13" s="57" t="n">
        <v>1</v>
      </c>
      <c r="H13" s="57" t="n">
        <v>55</v>
      </c>
      <c r="I13" s="59" t="n">
        <v>18000</v>
      </c>
      <c r="J13" s="59">
        <f>G13*I13</f>
        <v/>
      </c>
      <c r="K13" s="11" t="inlineStr"/>
    </row>
    <row r="14" ht="26" customHeight="1">
      <c r="A14" s="57" t="n">
        <v>8</v>
      </c>
      <c r="B14" s="11" t="inlineStr">
        <is>
          <t>GNSS secondary</t>
        </is>
      </c>
      <c r="C14" s="11" t="inlineStr">
        <is>
          <t>Second receiver for moving-baseline heading</t>
        </is>
      </c>
      <c r="D14" s="11" t="inlineStr">
        <is>
          <t>Teravolt Labs / Accord Software (B</t>
        </is>
      </c>
      <c r="E14" s="58" t="inlineStr">
        <is>
          <t>open</t>
        </is>
      </c>
      <c r="F14" s="57" t="inlineStr">
        <is>
          <t>RFQ</t>
        </is>
      </c>
      <c r="G14" s="57" t="n">
        <v>1</v>
      </c>
      <c r="H14" s="57" t="n">
        <v>50</v>
      </c>
      <c r="I14" s="59" t="n">
        <v>17000</v>
      </c>
      <c r="J14" s="59">
        <f>G14*I14</f>
        <v/>
      </c>
      <c r="K14" s="11" t="inlineStr"/>
    </row>
    <row r="15" ht="26" customHeight="1">
      <c r="A15" s="60" t="n">
        <v>9</v>
      </c>
      <c r="B15" s="23" t="inlineStr">
        <is>
          <t>GNSS antennas</t>
        </is>
      </c>
      <c r="C15" s="23" t="inlineStr">
        <is>
          <t>commodity multi-band L1/L5 patch</t>
        </is>
      </c>
      <c r="D15" s="23" t="inlineStr">
        <is>
          <t>Supplied with receiver</t>
        </is>
      </c>
      <c r="E15" s="61" t="inlineStr">
        <is>
          <t>—</t>
        </is>
      </c>
      <c r="F15" s="60" t="inlineStr">
        <is>
          <t>RFQ</t>
        </is>
      </c>
      <c r="G15" s="60" t="n">
        <v>2</v>
      </c>
      <c r="H15" s="60" t="n">
        <v>35</v>
      </c>
      <c r="I15" s="62" t="n">
        <v>2000</v>
      </c>
      <c r="J15" s="62">
        <f>G15*I15</f>
        <v/>
      </c>
      <c r="K15" s="23" t="inlineStr">
        <is>
          <t>was ₹3,200 · saves ₹2,400</t>
        </is>
      </c>
    </row>
    <row r="16" ht="26" customHeight="1">
      <c r="A16" s="57" t="n">
        <v>10</v>
      </c>
      <c r="B16" s="11" t="inlineStr">
        <is>
          <t>RC receiver</t>
        </is>
      </c>
      <c r="C16" s="11" t="inlineStr">
        <is>
          <t>ExpressLRS 2.4 GHz receiver</t>
        </is>
      </c>
      <c r="D16" s="11" t="inlineStr">
        <is>
          <t>Zerodrag (India)</t>
        </is>
      </c>
      <c r="E16" s="58" t="inlineStr">
        <is>
          <t>open</t>
        </is>
      </c>
      <c r="F16" s="57" t="inlineStr">
        <is>
          <t>SPEC OK / RFQ</t>
        </is>
      </c>
      <c r="G16" s="57" t="n">
        <v>1</v>
      </c>
      <c r="H16" s="57" t="n">
        <v>12</v>
      </c>
      <c r="I16" s="59" t="n">
        <v>2000</v>
      </c>
      <c r="J16" s="59">
        <f>G16*I16</f>
        <v/>
      </c>
      <c r="K16" s="11" t="inlineStr"/>
    </row>
    <row r="17" ht="16" customHeight="1">
      <c r="A17" s="55" t="inlineStr">
        <is>
          <t>POWER</t>
        </is>
      </c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</row>
    <row r="18" ht="26" customHeight="1">
      <c r="A18" s="57" t="n">
        <v>11</v>
      </c>
      <c r="B18" s="11" t="inlineStr">
        <is>
          <t>Li-ion cells</t>
        </is>
      </c>
      <c r="C18" s="11" t="inlineStr">
        <is>
          <t>21700 NMC, &gt;=4000 mAh, 40-45 A continuous — 18 off (6S3P)</t>
        </is>
      </c>
      <c r="D18" s="11" t="inlineStr">
        <is>
          <t>GODI India (Hyderabad)</t>
        </is>
      </c>
      <c r="E18" s="58" t="inlineStr">
        <is>
          <t>open</t>
        </is>
      </c>
      <c r="F18" s="57" t="inlineStr">
        <is>
          <t>RFQ</t>
        </is>
      </c>
      <c r="G18" s="57" t="n">
        <v>18</v>
      </c>
      <c r="H18" s="57" t="n">
        <v>70</v>
      </c>
      <c r="I18" s="59" t="n">
        <v>700</v>
      </c>
      <c r="J18" s="59">
        <f>G18*I18</f>
        <v/>
      </c>
      <c r="K18" s="11" t="inlineStr"/>
    </row>
    <row r="19" ht="26" customHeight="1">
      <c r="A19" s="57" t="n">
        <v>12</v>
      </c>
      <c r="B19" s="11" t="inlineStr">
        <is>
          <t>Pack assembly</t>
        </is>
      </c>
      <c r="C19" s="11" t="inlineStr">
        <is>
          <t>6S3P spot-welded pack: holders, pure nickel, fish paper, wra</t>
        </is>
      </c>
      <c r="D19" s="11" t="inlineStr">
        <is>
          <t xml:space="preserve">Revogreen / Lion Battery / Neuron </t>
        </is>
      </c>
      <c r="E19" s="63" t="inlineStr">
        <is>
          <t>—</t>
        </is>
      </c>
      <c r="F19" s="57" t="inlineStr">
        <is>
          <t>RFQ</t>
        </is>
      </c>
      <c r="G19" s="57" t="n">
        <v>1</v>
      </c>
      <c r="H19" s="57" t="n">
        <v>260</v>
      </c>
      <c r="I19" s="59" t="n">
        <v>3500</v>
      </c>
      <c r="J19" s="59">
        <f>G19*I19</f>
        <v/>
      </c>
      <c r="K19" s="11" t="inlineStr"/>
    </row>
    <row r="20" ht="26" customHeight="1">
      <c r="A20" s="57" t="n">
        <v>13</v>
      </c>
      <c r="B20" s="11" t="inlineStr">
        <is>
          <t>BMS / balance board</t>
        </is>
      </c>
      <c r="C20" s="11" t="inlineStr">
        <is>
          <t>6S BMS with per-cell taps, high-current discharge path</t>
        </is>
      </c>
      <c r="D20" s="11" t="inlineStr">
        <is>
          <t>Flameback Tech (Baddi, HP)</t>
        </is>
      </c>
      <c r="E20" s="58" t="inlineStr">
        <is>
          <t>open</t>
        </is>
      </c>
      <c r="F20" s="57" t="inlineStr">
        <is>
          <t>SPEC OK / RFQ</t>
        </is>
      </c>
      <c r="G20" s="57" t="n">
        <v>1</v>
      </c>
      <c r="H20" s="57" t="n">
        <v>45</v>
      </c>
      <c r="I20" s="59" t="n">
        <v>1600</v>
      </c>
      <c r="J20" s="59">
        <f>G20*I20</f>
        <v/>
      </c>
      <c r="K20" s="11" t="inlineStr"/>
    </row>
    <row r="21" ht="26" customHeight="1">
      <c r="A21" s="57" t="n">
        <v>14</v>
      </c>
      <c r="B21" s="11" t="inlineStr">
        <is>
          <t>Power distribution board</t>
        </is>
      </c>
      <c r="C21" s="11" t="inlineStr">
        <is>
          <t>Flameback PDB, high-current</t>
        </is>
      </c>
      <c r="D21" s="11" t="inlineStr">
        <is>
          <t>Flameback Tech (Baddi, HP)</t>
        </is>
      </c>
      <c r="E21" s="58" t="inlineStr">
        <is>
          <t>open</t>
        </is>
      </c>
      <c r="F21" s="57" t="inlineStr">
        <is>
          <t>SPEC OK / RFQ</t>
        </is>
      </c>
      <c r="G21" s="57" t="n">
        <v>1</v>
      </c>
      <c r="H21" s="57" t="n">
        <v>55</v>
      </c>
      <c r="I21" s="59" t="n">
        <v>1800</v>
      </c>
      <c r="J21" s="59">
        <f>G21*I21</f>
        <v/>
      </c>
      <c r="K21" s="11" t="inlineStr"/>
    </row>
    <row r="22" ht="26" customHeight="1">
      <c r="A22" s="57" t="n">
        <v>15</v>
      </c>
      <c r="B22" s="11" t="inlineStr">
        <is>
          <t>Power module</t>
        </is>
      </c>
      <c r="C22" s="11" t="inlineStr">
        <is>
          <t>Included in the Agam V6X-RT Full Set (Agam Digital Power Mod</t>
        </is>
      </c>
      <c r="D22" s="11" t="inlineStr">
        <is>
          <t>Agam Robotics</t>
        </is>
      </c>
      <c r="E22" s="58" t="inlineStr">
        <is>
          <t>open</t>
        </is>
      </c>
      <c r="F22" s="57" t="inlineStr">
        <is>
          <t>VERIFIED</t>
        </is>
      </c>
      <c r="G22" s="57" t="n">
        <v>1</v>
      </c>
      <c r="H22" s="57" t="n">
        <v>45</v>
      </c>
      <c r="I22" s="59" t="n">
        <v>0</v>
      </c>
      <c r="J22" s="59">
        <f>G22*I22</f>
        <v/>
      </c>
      <c r="K22" s="11" t="inlineStr"/>
    </row>
    <row r="23" ht="26" customHeight="1">
      <c r="A23" s="57" t="n">
        <v>16</v>
      </c>
      <c r="B23" s="11" t="inlineStr">
        <is>
          <t>BEC 5 V and 12 V</t>
        </is>
      </c>
      <c r="C23" s="11" t="inlineStr">
        <is>
          <t>Flameback / Indian power-electronics BEC, 5 V 5 A + 12 V 5 A</t>
        </is>
      </c>
      <c r="D23" s="11" t="inlineStr">
        <is>
          <t>Flameback Tech / Indian supplier</t>
        </is>
      </c>
      <c r="E23" s="58" t="inlineStr">
        <is>
          <t>open</t>
        </is>
      </c>
      <c r="F23" s="57" t="inlineStr">
        <is>
          <t>RFQ</t>
        </is>
      </c>
      <c r="G23" s="57" t="n">
        <v>2</v>
      </c>
      <c r="H23" s="57" t="n">
        <v>31</v>
      </c>
      <c r="I23" s="59" t="n">
        <v>1000</v>
      </c>
      <c r="J23" s="59">
        <f>G23*I23</f>
        <v/>
      </c>
      <c r="K23" s="11" t="inlineStr"/>
    </row>
    <row r="24" ht="26" customHeight="1">
      <c r="A24" s="57" t="n">
        <v>17</v>
      </c>
      <c r="B24" s="11" t="inlineStr">
        <is>
          <t>Silicone wire</t>
        </is>
      </c>
      <c r="C24" s="11" t="inlineStr">
        <is>
          <t>10 AWG mains (2 m), 14 AWG motor (6 m), 22-26 AWG signal</t>
        </is>
      </c>
      <c r="D24" s="11" t="inlineStr">
        <is>
          <t>Polycab / Finolex / RR Kabel</t>
        </is>
      </c>
      <c r="E24" s="58" t="inlineStr">
        <is>
          <t>open</t>
        </is>
      </c>
      <c r="F24" s="57" t="inlineStr">
        <is>
          <t>LOCAL</t>
        </is>
      </c>
      <c r="G24" s="57" t="n">
        <v>1</v>
      </c>
      <c r="H24" s="57" t="n">
        <v>205</v>
      </c>
      <c r="I24" s="59" t="n">
        <v>1200</v>
      </c>
      <c r="J24" s="59">
        <f>G24*I24</f>
        <v/>
      </c>
      <c r="K24" s="11" t="inlineStr"/>
    </row>
    <row r="25" ht="26" customHeight="1">
      <c r="A25" s="57" t="n">
        <v>18</v>
      </c>
      <c r="B25" s="11" t="inlineStr">
        <is>
          <t>Connectors</t>
        </is>
      </c>
      <c r="C25" s="11" t="inlineStr">
        <is>
          <t>XT90-S anti-spark + JST-GH signal sets</t>
        </is>
      </c>
      <c r="D25" s="11" t="inlineStr">
        <is>
          <t>Indian distributor (Robu.in / Robo</t>
        </is>
      </c>
      <c r="E25" s="58" t="inlineStr">
        <is>
          <t>open</t>
        </is>
      </c>
      <c r="F25" s="57" t="inlineStr">
        <is>
          <t>SPEC OK / RFQ</t>
        </is>
      </c>
      <c r="G25" s="57" t="n">
        <v>1</v>
      </c>
      <c r="H25" s="57" t="n">
        <v>45</v>
      </c>
      <c r="I25" s="59" t="n">
        <v>900</v>
      </c>
      <c r="J25" s="59">
        <f>G25*I25</f>
        <v/>
      </c>
      <c r="K25" s="11" t="inlineStr"/>
    </row>
    <row r="26" ht="26" customHeight="1">
      <c r="A26" s="57" t="n">
        <v>19</v>
      </c>
      <c r="B26" s="11" t="inlineStr">
        <is>
          <t>Buzzer, LED, switch</t>
        </is>
      </c>
      <c r="C26" s="11" t="inlineStr">
        <is>
          <t>Piezo buzzer, external RGB status LED, arming switch</t>
        </is>
      </c>
      <c r="D26" s="11" t="inlineStr">
        <is>
          <t>Agam accessories / local</t>
        </is>
      </c>
      <c r="E26" s="58" t="inlineStr">
        <is>
          <t>open</t>
        </is>
      </c>
      <c r="F26" s="57" t="inlineStr">
        <is>
          <t>RFQ</t>
        </is>
      </c>
      <c r="G26" s="57" t="n">
        <v>1</v>
      </c>
      <c r="H26" s="57" t="n">
        <v>30</v>
      </c>
      <c r="I26" s="59" t="n">
        <v>900</v>
      </c>
      <c r="J26" s="59">
        <f>G26*I26</f>
        <v/>
      </c>
      <c r="K26" s="11" t="inlineStr"/>
    </row>
    <row r="27" ht="16" customHeight="1">
      <c r="A27" s="55" t="inlineStr">
        <is>
          <t>COMPUTE AND PERCEPTION</t>
        </is>
      </c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</row>
    <row r="28" ht="26" customHeight="1">
      <c r="A28" s="60" t="n">
        <v>20</v>
      </c>
      <c r="B28" s="23" t="inlineStr">
        <is>
          <t>AI compute module</t>
        </is>
      </c>
      <c r="C28" s="23" t="inlineStr">
        <is>
          <t>Raspberry Pi 5 8GB + AI HAT+ 26 TOPS (Hailo-8)</t>
        </is>
      </c>
      <c r="D28" s="23" t="inlineStr">
        <is>
          <t>e-con Systems (Chennai) / VVDN / S</t>
        </is>
      </c>
      <c r="E28" s="64" t="inlineStr">
        <is>
          <t>open</t>
        </is>
      </c>
      <c r="F28" s="60" t="inlineStr">
        <is>
          <t>RFQ</t>
        </is>
      </c>
      <c r="G28" s="60" t="n">
        <v>1</v>
      </c>
      <c r="H28" s="60" t="n">
        <v>200</v>
      </c>
      <c r="I28" s="62" t="n">
        <v>20000</v>
      </c>
      <c r="J28" s="62">
        <f>G28*I28</f>
        <v/>
      </c>
      <c r="K28" s="23" t="inlineStr">
        <is>
          <t>was ₹55,000 · saves ₹35,000</t>
        </is>
      </c>
    </row>
    <row r="29" ht="26" customHeight="1">
      <c r="A29" s="60" t="n">
        <v>21</v>
      </c>
      <c r="B29" s="23" t="inlineStr">
        <is>
          <t>Camera module</t>
        </is>
      </c>
      <c r="C29" s="23" t="inlineStr">
        <is>
          <t>Arducam 12MP IMX477</t>
        </is>
      </c>
      <c r="D29" s="23" t="inlineStr">
        <is>
          <t>e-con Systems (Chennai)</t>
        </is>
      </c>
      <c r="E29" s="64" t="inlineStr">
        <is>
          <t>open</t>
        </is>
      </c>
      <c r="F29" s="60" t="inlineStr">
        <is>
          <t>SPEC OK / RFQ</t>
        </is>
      </c>
      <c r="G29" s="60" t="n">
        <v>1</v>
      </c>
      <c r="H29" s="60" t="n">
        <v>80</v>
      </c>
      <c r="I29" s="62" t="n">
        <v>9600</v>
      </c>
      <c r="J29" s="62">
        <f>G29*I29</f>
        <v/>
      </c>
      <c r="K29" s="23" t="inlineStr">
        <is>
          <t>was ₹14,000 · saves ₹4,400</t>
        </is>
      </c>
    </row>
    <row r="30" ht="26" customHeight="1">
      <c r="A30" s="57" t="n">
        <v>22</v>
      </c>
      <c r="B30" s="11" t="inlineStr">
        <is>
          <t>Lens</t>
        </is>
      </c>
      <c r="C30" s="11" t="inlineStr">
        <is>
          <t>S-mount, ~6 mm, low distortion, IR-cut</t>
        </is>
      </c>
      <c r="D30" s="11" t="inlineStr">
        <is>
          <t>e-con Systems</t>
        </is>
      </c>
      <c r="E30" s="58" t="inlineStr">
        <is>
          <t>open</t>
        </is>
      </c>
      <c r="F30" s="57" t="inlineStr">
        <is>
          <t>RFQ</t>
        </is>
      </c>
      <c r="G30" s="57" t="n">
        <v>1</v>
      </c>
      <c r="H30" s="57" t="n">
        <v>25</v>
      </c>
      <c r="I30" s="59" t="n">
        <v>2600</v>
      </c>
      <c r="J30" s="59">
        <f>G30*I30</f>
        <v/>
      </c>
      <c r="K30" s="11" t="inlineStr"/>
    </row>
    <row r="31" ht="26" customHeight="1">
      <c r="A31" s="57" t="n">
        <v>23</v>
      </c>
      <c r="B31" s="11" t="inlineStr">
        <is>
          <t>Camera mount</t>
        </is>
      </c>
      <c r="C31" s="11" t="inlineStr">
        <is>
          <t>In-house: rigid nadir mount, silicone isolated, boresight-ad</t>
        </is>
      </c>
      <c r="D31" s="11" t="inlineStr">
        <is>
          <t>In-house</t>
        </is>
      </c>
      <c r="E31" s="63" t="inlineStr">
        <is>
          <t>—</t>
        </is>
      </c>
      <c r="F31" s="57" t="inlineStr">
        <is>
          <t>LOCAL</t>
        </is>
      </c>
      <c r="G31" s="57" t="n">
        <v>1</v>
      </c>
      <c r="H31" s="57" t="n">
        <v>45</v>
      </c>
      <c r="I31" s="59" t="n">
        <v>1200</v>
      </c>
      <c r="J31" s="59">
        <f>G31*I31</f>
        <v/>
      </c>
      <c r="K31" s="11" t="inlineStr"/>
    </row>
    <row r="32" ht="26" customHeight="1">
      <c r="A32" s="60" t="n">
        <v>24</v>
      </c>
      <c r="B32" s="23" t="inlineStr">
        <is>
          <t>Storage</t>
        </is>
      </c>
      <c r="C32" s="23" t="inlineStr">
        <is>
          <t>256 GB industrial SD</t>
        </is>
      </c>
      <c r="D32" s="23" t="inlineStr">
        <is>
          <t>Indian distributor</t>
        </is>
      </c>
      <c r="E32" s="64" t="inlineStr">
        <is>
          <t>open</t>
        </is>
      </c>
      <c r="F32" s="60" t="inlineStr">
        <is>
          <t>SPEC OK / RFQ</t>
        </is>
      </c>
      <c r="G32" s="60" t="n">
        <v>1</v>
      </c>
      <c r="H32" s="60" t="n">
        <v>10</v>
      </c>
      <c r="I32" s="62" t="n">
        <v>1200</v>
      </c>
      <c r="J32" s="62">
        <f>G32*I32</f>
        <v/>
      </c>
      <c r="K32" s="23" t="inlineStr">
        <is>
          <t>was ₹2,800 · saves ₹1,600</t>
        </is>
      </c>
    </row>
    <row r="33" ht="26" customHeight="1">
      <c r="A33" s="57" t="n">
        <v>25</v>
      </c>
      <c r="B33" s="11" t="inlineStr">
        <is>
          <t>Cooling and cabling</t>
        </is>
      </c>
      <c r="C33" s="11" t="inlineStr">
        <is>
          <t>5 V blower + printed duct, CSI ribbon, Ethernet to FC</t>
        </is>
      </c>
      <c r="D33" s="11" t="inlineStr">
        <is>
          <t>In-house + e-con</t>
        </is>
      </c>
      <c r="E33" s="63" t="inlineStr">
        <is>
          <t>—</t>
        </is>
      </c>
      <c r="F33" s="57" t="inlineStr">
        <is>
          <t>LOCAL</t>
        </is>
      </c>
      <c r="G33" s="57" t="n">
        <v>1</v>
      </c>
      <c r="H33" s="57" t="n">
        <v>132</v>
      </c>
      <c r="I33" s="59" t="n">
        <v>3900</v>
      </c>
      <c r="J33" s="59">
        <f>G33*I33</f>
        <v/>
      </c>
      <c r="K33" s="11" t="inlineStr"/>
    </row>
    <row r="34" ht="16" customHeight="1">
      <c r="A34" s="55" t="inlineStr">
        <is>
          <t>STRUCTURE</t>
        </is>
      </c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</row>
    <row r="35" ht="26" customHeight="1">
      <c r="A35" s="57" t="n">
        <v>26</v>
      </c>
      <c r="B35" s="11" t="inlineStr">
        <is>
          <t>Arm tube</t>
        </is>
      </c>
      <c r="C35" s="11" t="inlineStr">
        <is>
          <t>CF round tube 25 x 23 x 400 mm, roll-wrapped or pultruded</t>
        </is>
      </c>
      <c r="D35" s="11" t="inlineStr">
        <is>
          <t>Kineco Kaman (Goa) / Composite Tec</t>
        </is>
      </c>
      <c r="E35" s="58" t="inlineStr">
        <is>
          <t>open</t>
        </is>
      </c>
      <c r="F35" s="57" t="inlineStr">
        <is>
          <t>RFQ</t>
        </is>
      </c>
      <c r="G35" s="57" t="n">
        <v>4</v>
      </c>
      <c r="H35" s="57" t="n">
        <v>95</v>
      </c>
      <c r="I35" s="59" t="n">
        <v>1100</v>
      </c>
      <c r="J35" s="59">
        <f>G35*I35</f>
        <v/>
      </c>
      <c r="K35" s="11" t="inlineStr"/>
    </row>
    <row r="36" ht="26" customHeight="1">
      <c r="A36" s="57" t="n">
        <v>27</v>
      </c>
      <c r="B36" s="11" t="inlineStr">
        <is>
          <t>Centre plates</t>
        </is>
      </c>
      <c r="C36" s="11" t="inlineStr">
        <is>
          <t>CF sandwich 2.5 mm, CNC cut to drawing, top + bottom</t>
        </is>
      </c>
      <c r="D36" s="11" t="inlineStr">
        <is>
          <t xml:space="preserve">Composite Technology Park / local </t>
        </is>
      </c>
      <c r="E36" s="63" t="inlineStr">
        <is>
          <t>—</t>
        </is>
      </c>
      <c r="F36" s="57" t="inlineStr">
        <is>
          <t>LOCAL</t>
        </is>
      </c>
      <c r="G36" s="57" t="n">
        <v>2</v>
      </c>
      <c r="H36" s="57" t="n">
        <v>155</v>
      </c>
      <c r="I36" s="59" t="n">
        <v>3000</v>
      </c>
      <c r="J36" s="59">
        <f>G36*I36</f>
        <v/>
      </c>
      <c r="K36" s="11" t="inlineStr"/>
    </row>
    <row r="37" ht="26" customHeight="1">
      <c r="A37" s="57" t="n">
        <v>28</v>
      </c>
      <c r="B37" s="11" t="inlineStr">
        <is>
          <t>Arm clamps</t>
        </is>
      </c>
      <c r="C37" s="11" t="inlineStr">
        <is>
          <t>Machined Al 6061-T6, 25 mm bore, anti-rotation key</t>
        </is>
      </c>
      <c r="D37" s="11" t="inlineStr">
        <is>
          <t>Local precision machine shop</t>
        </is>
      </c>
      <c r="E37" s="63" t="inlineStr">
        <is>
          <t>—</t>
        </is>
      </c>
      <c r="F37" s="57" t="inlineStr">
        <is>
          <t>LOCAL</t>
        </is>
      </c>
      <c r="G37" s="57" t="n">
        <v>4</v>
      </c>
      <c r="H37" s="57" t="n">
        <v>45</v>
      </c>
      <c r="I37" s="59" t="n">
        <v>750</v>
      </c>
      <c r="J37" s="59">
        <f>G37*I37</f>
        <v/>
      </c>
      <c r="K37" s="11" t="inlineStr"/>
    </row>
    <row r="38" ht="26" customHeight="1">
      <c r="A38" s="57" t="n">
        <v>29</v>
      </c>
      <c r="B38" s="11" t="inlineStr">
        <is>
          <t>Motor mount plates</t>
        </is>
      </c>
      <c r="C38" s="11" t="inlineStr">
        <is>
          <t>CF 3 mm, saddle, bolt pattern matched to the RD 5008 (6 mm s</t>
        </is>
      </c>
      <c r="D38" s="11" t="inlineStr">
        <is>
          <t>Local CNC</t>
        </is>
      </c>
      <c r="E38" s="63" t="inlineStr">
        <is>
          <t>—</t>
        </is>
      </c>
      <c r="F38" s="57" t="inlineStr">
        <is>
          <t>LOCAL</t>
        </is>
      </c>
      <c r="G38" s="57" t="n">
        <v>4</v>
      </c>
      <c r="H38" s="57" t="n">
        <v>22</v>
      </c>
      <c r="I38" s="59" t="n">
        <v>400</v>
      </c>
      <c r="J38" s="59">
        <f>G38*I38</f>
        <v/>
      </c>
      <c r="K38" s="11" t="inlineStr"/>
    </row>
    <row r="39" ht="26" customHeight="1">
      <c r="A39" s="57" t="n">
        <v>30</v>
      </c>
      <c r="B39" s="11" t="inlineStr">
        <is>
          <t>Landing gear</t>
        </is>
      </c>
      <c r="C39" s="11" t="inlineStr">
        <is>
          <t>CF tube 16 x 300 mm x4 with TPU feet</t>
        </is>
      </c>
      <c r="D39" s="11" t="inlineStr">
        <is>
          <t>Kineco / in-house</t>
        </is>
      </c>
      <c r="E39" s="63" t="inlineStr">
        <is>
          <t>—</t>
        </is>
      </c>
      <c r="F39" s="57" t="inlineStr">
        <is>
          <t>LOCAL</t>
        </is>
      </c>
      <c r="G39" s="57" t="n">
        <v>1</v>
      </c>
      <c r="H39" s="57" t="n">
        <v>268</v>
      </c>
      <c r="I39" s="59" t="n">
        <v>2700</v>
      </c>
      <c r="J39" s="59">
        <f>G39*I39</f>
        <v/>
      </c>
      <c r="K39" s="11" t="inlineStr"/>
    </row>
    <row r="40" ht="26" customHeight="1">
      <c r="A40" s="57" t="n">
        <v>31</v>
      </c>
      <c r="B40" s="11" t="inlineStr">
        <is>
          <t>Battery tray, canopy, mounts</t>
        </is>
      </c>
      <c r="C40" s="11" t="inlineStr">
        <is>
          <t>CF tray, printed PETG/ASA canopy, silicone FC damping mount</t>
        </is>
      </c>
      <c r="D40" s="11" t="inlineStr">
        <is>
          <t>In-house</t>
        </is>
      </c>
      <c r="E40" s="58" t="inlineStr">
        <is>
          <t>open</t>
        </is>
      </c>
      <c r="F40" s="57" t="inlineStr">
        <is>
          <t>LOCAL</t>
        </is>
      </c>
      <c r="G40" s="57" t="n">
        <v>1</v>
      </c>
      <c r="H40" s="57" t="n">
        <v>243</v>
      </c>
      <c r="I40" s="59" t="n">
        <v>1450</v>
      </c>
      <c r="J40" s="59">
        <f>G40*I40</f>
        <v/>
      </c>
      <c r="K40" s="11" t="inlineStr"/>
    </row>
    <row r="41" ht="26" customHeight="1">
      <c r="A41" s="57" t="n">
        <v>32</v>
      </c>
      <c r="B41" s="11" t="inlineStr">
        <is>
          <t>Fasteners</t>
        </is>
      </c>
      <c r="C41" s="11" t="inlineStr">
        <is>
          <t>M3 socket cap A2, nyloc, washers, heat inserts (~120 pcs)</t>
        </is>
      </c>
      <c r="D41" s="11" t="inlineStr">
        <is>
          <t>Sundram Fasteners / local</t>
        </is>
      </c>
      <c r="E41" s="58" t="inlineStr">
        <is>
          <t>open</t>
        </is>
      </c>
      <c r="F41" s="57" t="inlineStr">
        <is>
          <t>LOCAL</t>
        </is>
      </c>
      <c r="G41" s="57" t="n">
        <v>1</v>
      </c>
      <c r="H41" s="57" t="n">
        <v>110</v>
      </c>
      <c r="I41" s="59" t="n">
        <v>800</v>
      </c>
      <c r="J41" s="59">
        <f>G41*I41</f>
        <v/>
      </c>
      <c r="K41" s="11" t="inlineStr"/>
    </row>
    <row r="42" ht="26" customHeight="1">
      <c r="A42" s="57" t="n">
        <v>33</v>
      </c>
      <c r="B42" s="11" t="inlineStr">
        <is>
          <t>Standoffs, grommets, harness hardware</t>
        </is>
      </c>
      <c r="C42" s="11" t="inlineStr">
        <is>
          <t>M3 aluminium standoffs, rubber grommets, P-clips, spiral wra</t>
        </is>
      </c>
      <c r="D42" s="11" t="inlineStr">
        <is>
          <t>Local</t>
        </is>
      </c>
      <c r="E42" s="63" t="inlineStr">
        <is>
          <t>—</t>
        </is>
      </c>
      <c r="F42" s="57" t="inlineStr">
        <is>
          <t>LOCAL</t>
        </is>
      </c>
      <c r="G42" s="57" t="n">
        <v>1</v>
      </c>
      <c r="H42" s="57" t="n">
        <v>95</v>
      </c>
      <c r="I42" s="59" t="n">
        <v>600</v>
      </c>
      <c r="J42" s="59">
        <f>G42*I42</f>
        <v/>
      </c>
      <c r="K42" s="11" t="inlineStr"/>
    </row>
    <row r="43" ht="16" customHeight="1">
      <c r="A43" s="55" t="inlineStr">
        <is>
          <t>COMMUNICATIONS</t>
        </is>
      </c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</row>
    <row r="44" ht="26" customHeight="1">
      <c r="A44" s="57" t="n">
        <v>34</v>
      </c>
      <c r="B44" s="11" t="inlineStr">
        <is>
          <t>Mesh node</t>
        </is>
      </c>
      <c r="C44" s="11" t="inlineStr">
        <is>
          <t>5.8 GHz 802.11 node running batman-adv, Indian carrier and f</t>
        </is>
      </c>
      <c r="D44" s="11" t="inlineStr">
        <is>
          <t>FxUAV Technologies (Burla, Odisha)</t>
        </is>
      </c>
      <c r="E44" s="58" t="inlineStr">
        <is>
          <t>open</t>
        </is>
      </c>
      <c r="F44" s="57" t="inlineStr">
        <is>
          <t>RFQ</t>
        </is>
      </c>
      <c r="G44" s="57" t="n">
        <v>1</v>
      </c>
      <c r="H44" s="57" t="n">
        <v>45</v>
      </c>
      <c r="I44" s="59" t="n">
        <v>9000</v>
      </c>
      <c r="J44" s="59">
        <f>G44*I44</f>
        <v/>
      </c>
      <c r="K44" s="11" t="inlineStr"/>
    </row>
    <row r="45" ht="26" customHeight="1">
      <c r="A45" s="65" t="n">
        <v>35</v>
      </c>
      <c r="B45" s="47" t="inlineStr">
        <is>
          <t>Sub-GHz safety link</t>
        </is>
      </c>
      <c r="C45" s="47" t="inlineStr">
        <is>
          <t>RFDesign RFD 868ux-IND</t>
        </is>
      </c>
      <c r="D45" s="47" t="inlineStr">
        <is>
          <t>FxUAV / Indian LoRa module house</t>
        </is>
      </c>
      <c r="E45" s="66" t="inlineStr">
        <is>
          <t>open</t>
        </is>
      </c>
      <c r="F45" s="65" t="inlineStr">
        <is>
          <t>RFQ</t>
        </is>
      </c>
      <c r="G45" s="65" t="n">
        <v>1</v>
      </c>
      <c r="H45" s="65" t="n">
        <v>30</v>
      </c>
      <c r="I45" s="67" t="n">
        <v>19355</v>
      </c>
      <c r="J45" s="67">
        <f>G45*I45</f>
        <v/>
      </c>
      <c r="K45" s="47" t="inlineStr">
        <is>
          <t>REPRICED UP — see finding 2</t>
        </is>
      </c>
    </row>
    <row r="46" ht="26" customHeight="1">
      <c r="A46" s="57" t="n">
        <v>36</v>
      </c>
      <c r="B46" s="11" t="inlineStr">
        <is>
          <t>Antennas</t>
        </is>
      </c>
      <c r="C46" s="11" t="inlineStr">
        <is>
          <t>3 dBi dipole 5.15-5.9 GHz x2, 2 dBi 868 MHz x1, with pigtail</t>
        </is>
      </c>
      <c r="D46" s="11" t="inlineStr">
        <is>
          <t>Indian RF antenna manufacturer</t>
        </is>
      </c>
      <c r="E46" s="63" t="inlineStr">
        <is>
          <t>—</t>
        </is>
      </c>
      <c r="F46" s="57" t="inlineStr">
        <is>
          <t>RFQ</t>
        </is>
      </c>
      <c r="G46" s="57" t="n">
        <v>1</v>
      </c>
      <c r="H46" s="57" t="n">
        <v>64</v>
      </c>
      <c r="I46" s="59" t="n">
        <v>1300</v>
      </c>
      <c r="J46" s="59">
        <f>G46*I46</f>
        <v/>
      </c>
      <c r="K46" s="11" t="inlineStr"/>
    </row>
    <row r="47" ht="16" customHeight="1">
      <c r="A47" s="55" t="inlineStr">
        <is>
          <t>PAYLOAD SYSTEM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</row>
    <row r="48" ht="26" customHeight="1">
      <c r="A48" s="57" t="n">
        <v>37</v>
      </c>
      <c r="B48" s="11" t="inlineStr">
        <is>
          <t>Release servos</t>
        </is>
      </c>
      <c r="C48" s="11" t="inlineStr">
        <is>
          <t>Metal-gear digital micro servo, ~2.5 kg·cm, x4</t>
        </is>
      </c>
      <c r="D48" s="11" t="inlineStr">
        <is>
          <t>Zerodrag / Indian distributor</t>
        </is>
      </c>
      <c r="E48" s="58" t="inlineStr">
        <is>
          <t>open</t>
        </is>
      </c>
      <c r="F48" s="57" t="inlineStr">
        <is>
          <t>RFQ</t>
        </is>
      </c>
      <c r="G48" s="57" t="n">
        <v>4</v>
      </c>
      <c r="H48" s="57" t="n">
        <v>14</v>
      </c>
      <c r="I48" s="59" t="n">
        <v>700</v>
      </c>
      <c r="J48" s="59">
        <f>G48*I48</f>
        <v/>
      </c>
      <c r="K48" s="11" t="inlineStr"/>
    </row>
    <row r="49" ht="26" customHeight="1">
      <c r="A49" s="57" t="n">
        <v>38</v>
      </c>
      <c r="B49" s="11" t="inlineStr">
        <is>
          <t>Magazine housing</t>
        </is>
      </c>
      <c r="C49" s="11" t="inlineStr">
        <is>
          <t>Printed PETG rails, 4 stations at 200 x 100 x 50 mm</t>
        </is>
      </c>
      <c r="D49" s="11" t="inlineStr">
        <is>
          <t>In-house</t>
        </is>
      </c>
      <c r="E49" s="63" t="inlineStr">
        <is>
          <t>—</t>
        </is>
      </c>
      <c r="F49" s="57" t="inlineStr">
        <is>
          <t>LOCAL</t>
        </is>
      </c>
      <c r="G49" s="57" t="n">
        <v>1</v>
      </c>
      <c r="H49" s="57" t="n">
        <v>120</v>
      </c>
      <c r="I49" s="59" t="n">
        <v>800</v>
      </c>
      <c r="J49" s="59">
        <f>G49*I49</f>
        <v/>
      </c>
      <c r="K49" s="11" t="inlineStr"/>
    </row>
    <row r="50" ht="26" customHeight="1">
      <c r="A50" s="57" t="n">
        <v>39</v>
      </c>
      <c r="B50" s="11" t="inlineStr">
        <is>
          <t>Positive-lock detents</t>
        </is>
      </c>
      <c r="C50" s="11" t="inlineStr">
        <is>
          <t>Spring detent + mechanical catch, independent of servo power</t>
        </is>
      </c>
      <c r="D50" s="11" t="inlineStr">
        <is>
          <t>In-house + local</t>
        </is>
      </c>
      <c r="E50" s="63" t="inlineStr">
        <is>
          <t>—</t>
        </is>
      </c>
      <c r="F50" s="57" t="inlineStr">
        <is>
          <t>LOCAL</t>
        </is>
      </c>
      <c r="G50" s="57" t="n">
        <v>4</v>
      </c>
      <c r="H50" s="57" t="n">
        <v>9</v>
      </c>
      <c r="I50" s="59" t="n">
        <v>250</v>
      </c>
      <c r="J50" s="59">
        <f>G50*I50</f>
        <v/>
      </c>
      <c r="K50" s="11" t="inlineStr"/>
    </row>
    <row r="51" ht="26" customHeight="1">
      <c r="A51" s="57" t="n">
        <v>40</v>
      </c>
      <c r="B51" s="11" t="inlineStr">
        <is>
          <t>Release confirmation</t>
        </is>
      </c>
      <c r="C51" s="11" t="inlineStr">
        <is>
          <t>Micro lever switch per station, x4</t>
        </is>
      </c>
      <c r="D51" s="11" t="inlineStr">
        <is>
          <t>Indian electronics distributor</t>
        </is>
      </c>
      <c r="E51" s="58" t="inlineStr">
        <is>
          <t>open</t>
        </is>
      </c>
      <c r="F51" s="57" t="inlineStr">
        <is>
          <t>LOCAL</t>
        </is>
      </c>
      <c r="G51" s="57" t="n">
        <v>4</v>
      </c>
      <c r="H51" s="57" t="n">
        <v>4</v>
      </c>
      <c r="I51" s="59" t="n">
        <v>150</v>
      </c>
      <c r="J51" s="59">
        <f>G51*I51</f>
        <v/>
      </c>
      <c r="K51" s="11" t="inlineStr"/>
    </row>
    <row r="52" ht="26" customHeight="1">
      <c r="A52" s="57" t="n">
        <v>41</v>
      </c>
      <c r="B52" s="11" t="inlineStr">
        <is>
          <t>Servo harness</t>
        </is>
      </c>
      <c r="C52" s="11" t="inlineStr">
        <is>
          <t>4-channel PWM from FC AUX outputs</t>
        </is>
      </c>
      <c r="D52" s="11" t="inlineStr">
        <is>
          <t>Local</t>
        </is>
      </c>
      <c r="E52" s="63" t="inlineStr">
        <is>
          <t>—</t>
        </is>
      </c>
      <c r="F52" s="57" t="inlineStr">
        <is>
          <t>LOCAL</t>
        </is>
      </c>
      <c r="G52" s="57" t="n">
        <v>1</v>
      </c>
      <c r="H52" s="57" t="n">
        <v>15</v>
      </c>
      <c r="I52" s="59" t="n">
        <v>200</v>
      </c>
      <c r="J52" s="59">
        <f>G52*I52</f>
        <v/>
      </c>
      <c r="K52" s="11" t="inlineStr"/>
    </row>
    <row r="53">
      <c r="A53" s="35" t="n"/>
      <c r="B53" s="34" t="inlineStr">
        <is>
          <t>TOTAL PER AIRCRAFT</t>
        </is>
      </c>
      <c r="C53" s="35" t="n"/>
      <c r="D53" s="35" t="n"/>
      <c r="E53" s="35" t="n"/>
      <c r="F53" s="35" t="n"/>
      <c r="G53" s="35" t="n"/>
      <c r="H53" s="36">
        <f>SUMPRODUCT(G5:G52,H5:H52)</f>
        <v/>
      </c>
      <c r="I53" s="35" t="n"/>
      <c r="J53" s="36">
        <f>SUM(J5:J52)</f>
        <v/>
      </c>
      <c r="K53" s="35" t="n"/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6" r:id="rId9"/>
    <hyperlink xmlns:r="http://schemas.openxmlformats.org/officeDocument/2006/relationships" ref="E18" r:id="rId10"/>
    <hyperlink xmlns:r="http://schemas.openxmlformats.org/officeDocument/2006/relationships" ref="E20" r:id="rId11"/>
    <hyperlink xmlns:r="http://schemas.openxmlformats.org/officeDocument/2006/relationships" ref="E21" r:id="rId12"/>
    <hyperlink xmlns:r="http://schemas.openxmlformats.org/officeDocument/2006/relationships" ref="E22" r:id="rId13"/>
    <hyperlink xmlns:r="http://schemas.openxmlformats.org/officeDocument/2006/relationships" ref="E23" r:id="rId14"/>
    <hyperlink xmlns:r="http://schemas.openxmlformats.org/officeDocument/2006/relationships" ref="E24" r:id="rId15"/>
    <hyperlink xmlns:r="http://schemas.openxmlformats.org/officeDocument/2006/relationships" ref="E25" r:id="rId16"/>
    <hyperlink xmlns:r="http://schemas.openxmlformats.org/officeDocument/2006/relationships" ref="E26" r:id="rId17"/>
    <hyperlink xmlns:r="http://schemas.openxmlformats.org/officeDocument/2006/relationships" ref="E28" r:id="rId18"/>
    <hyperlink xmlns:r="http://schemas.openxmlformats.org/officeDocument/2006/relationships" ref="E29" r:id="rId19"/>
    <hyperlink xmlns:r="http://schemas.openxmlformats.org/officeDocument/2006/relationships" ref="E30" r:id="rId20"/>
    <hyperlink xmlns:r="http://schemas.openxmlformats.org/officeDocument/2006/relationships" ref="E32" r:id="rId21"/>
    <hyperlink xmlns:r="http://schemas.openxmlformats.org/officeDocument/2006/relationships" ref="E35" r:id="rId22"/>
    <hyperlink xmlns:r="http://schemas.openxmlformats.org/officeDocument/2006/relationships" ref="E40" r:id="rId23"/>
    <hyperlink xmlns:r="http://schemas.openxmlformats.org/officeDocument/2006/relationships" ref="E41" r:id="rId24"/>
    <hyperlink xmlns:r="http://schemas.openxmlformats.org/officeDocument/2006/relationships" ref="E44" r:id="rId25"/>
    <hyperlink xmlns:r="http://schemas.openxmlformats.org/officeDocument/2006/relationships" ref="E45" r:id="rId26"/>
    <hyperlink xmlns:r="http://schemas.openxmlformats.org/officeDocument/2006/relationships" ref="E48" r:id="rId27"/>
    <hyperlink xmlns:r="http://schemas.openxmlformats.org/officeDocument/2006/relationships" ref="E51" r:id="rId28"/>
  </hyperlinks>
  <pageMargins left="0.4" right="0.4" top="0.5" bottom="0.5" header="0.5" footer="0.5"/>
  <pageSetup orientation="landscape" fitToHeight="0" fitToWidth="1"/>
  <headerFooter>
    <oddHeader/>
    <oddFooter>&amp;LRescueSwarm Cost Study rev D · 2026-08-11&amp;R&amp;P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6" customWidth="1" min="3" max="3"/>
    <col width="52" customWidth="1" min="4" max="4"/>
    <col width="10" customWidth="1" min="5" max="5"/>
    <col width="20" customWidth="1" min="6" max="6"/>
  </cols>
  <sheetData>
    <row r="1">
      <c r="A1" s="1" t="inlineStr">
        <is>
          <t>Evidence — where every price comes from</t>
        </is>
      </c>
    </row>
    <row r="2">
      <c r="A2" s="2" t="inlineStr">
        <is>
          <t>Prices read on or before the date of this revision. Single-unit Indian retail; they move.</t>
        </is>
      </c>
    </row>
    <row r="4" ht="30" customHeight="1">
      <c r="A4" s="7" t="inlineStr">
        <is>
          <t>Line</t>
        </is>
      </c>
      <c r="B4" s="7" t="inlineStr">
        <is>
          <t>Part</t>
        </is>
      </c>
      <c r="C4" s="7" t="inlineStr">
        <is>
          <t>Supplier</t>
        </is>
      </c>
      <c r="D4" s="7" t="inlineStr">
        <is>
          <t>Source</t>
        </is>
      </c>
      <c r="E4" s="7" t="inlineStr">
        <is>
          <t>₹</t>
        </is>
      </c>
      <c r="F4" s="7" t="inlineStr">
        <is>
          <t>Basis</t>
        </is>
      </c>
    </row>
    <row r="5" ht="28" customHeight="1">
      <c r="A5" s="30" t="inlineStr">
        <is>
          <t>Flight controller</t>
        </is>
      </c>
      <c r="B5" s="11" t="inlineStr">
        <is>
          <t>Agam Autopilot V6X-RT Full Set (incl. power module, IMU, carrier, SD, cables)</t>
        </is>
      </c>
      <c r="C5" s="11" t="inlineStr">
        <is>
          <t>Agam Robotics</t>
        </is>
      </c>
      <c r="D5" s="68" t="inlineStr">
        <is>
          <t>https://www.agamrobotics.com/product-page/agam-pixhawk-6x-full-set</t>
        </is>
      </c>
      <c r="E5" s="69" t="n">
        <v>42000</v>
      </c>
      <c r="F5" s="70" t="inlineStr">
        <is>
          <t>LISTED, incl 5% GST</t>
        </is>
      </c>
    </row>
    <row r="6" ht="28" customHeight="1">
      <c r="A6" s="30" t="inlineStr">
        <is>
          <t>Flight controller alt</t>
        </is>
      </c>
      <c r="B6" s="11" t="inlineStr">
        <is>
          <t>Holybro Pixhawk 6C Mini</t>
        </is>
      </c>
      <c r="C6" s="11" t="inlineStr">
        <is>
          <t>Indian Robo Store</t>
        </is>
      </c>
      <c r="D6" s="68" t="inlineStr">
        <is>
          <t>https://www.indiamart.com/proddetail/pixhawk-6c-mini-flight-controller-2852778303248.html</t>
        </is>
      </c>
      <c r="E6" s="69" t="n">
        <v>22600</v>
      </c>
      <c r="F6" s="70" t="inlineStr">
        <is>
          <t>LISTED</t>
        </is>
      </c>
    </row>
    <row r="7" ht="28" customHeight="1">
      <c r="A7" s="30" t="inlineStr">
        <is>
          <t>Motor</t>
        </is>
      </c>
      <c r="B7" s="11" t="inlineStr">
        <is>
          <t>Reflex Drive RD MI-5008 KV340, 6S</t>
        </is>
      </c>
      <c r="C7" s="11" t="inlineStr">
        <is>
          <t>Reflex Drive (Sunmint, Lucknow)</t>
        </is>
      </c>
      <c r="D7" s="68" t="inlineStr">
        <is>
          <t>https://reflexdrive.in/product/rd-mi-5008-motor/</t>
        </is>
      </c>
      <c r="E7" s="69" t="n">
        <v>9099</v>
      </c>
      <c r="F7" s="70" t="inlineStr">
        <is>
          <t>LISTED, thrust published</t>
        </is>
      </c>
    </row>
    <row r="8" ht="28" customHeight="1">
      <c r="A8" s="30" t="inlineStr">
        <is>
          <t>Motor alt</t>
        </is>
      </c>
      <c r="B8" s="11" t="inlineStr">
        <is>
          <t>T-Motor Antigravity MN5008 KV170, 4.1 kgf</t>
        </is>
      </c>
      <c r="C8" s="11" t="inlineStr">
        <is>
          <t>UAV Marketplace</t>
        </is>
      </c>
      <c r="D8" s="68" t="inlineStr">
        <is>
          <t>https://www.uavmarketplace.in/products/t-motors-mn5008-kv170/895789000017087249</t>
        </is>
      </c>
      <c r="E8" s="69" t="n">
        <v>9499</v>
      </c>
      <c r="F8" s="70" t="inlineStr">
        <is>
          <t>LISTED</t>
        </is>
      </c>
    </row>
    <row r="9" ht="28" customHeight="1">
      <c r="A9" s="30" t="inlineStr">
        <is>
          <t>ESC</t>
        </is>
      </c>
      <c r="B9" s="11" t="inlineStr">
        <is>
          <t>Reflex Drive RD A-Series FOC 60 A</t>
        </is>
      </c>
      <c r="C9" s="11" t="inlineStr">
        <is>
          <t>Reflex Drive</t>
        </is>
      </c>
      <c r="D9" s="68" t="inlineStr">
        <is>
          <t>https://reflexdrive.in/product/rd-a-series-foc-esc-60a/</t>
        </is>
      </c>
      <c r="E9" s="69" t="n">
        <v>3400</v>
      </c>
      <c r="F9" s="70" t="inlineStr">
        <is>
          <t>LISTED</t>
        </is>
      </c>
    </row>
    <row r="10" ht="28" customHeight="1">
      <c r="A10" s="26" t="inlineStr">
        <is>
          <t>AI compute alt</t>
        </is>
      </c>
      <c r="B10" s="27" t="inlineStr">
        <is>
          <t>Raspberry Pi AI HAT+ 26 TOPS (Hailo-8) — meets &gt;=20 TOPS</t>
        </is>
      </c>
      <c r="C10" s="27" t="inlineStr">
        <is>
          <t>Robu.in</t>
        </is>
      </c>
      <c r="D10" s="71" t="inlineStr">
        <is>
          <t>https://robu.in/product/raspberry-pi-ai-hat-26-tops/</t>
        </is>
      </c>
      <c r="E10" s="43" t="inlineStr">
        <is>
          <t>—</t>
        </is>
      </c>
      <c r="F10" s="72" t="inlineStr">
        <is>
          <t>CONFIRM PRICE</t>
        </is>
      </c>
    </row>
    <row r="11" ht="28" customHeight="1">
      <c r="A11" s="26" t="inlineStr">
        <is>
          <t>AI compute host</t>
        </is>
      </c>
      <c r="B11" s="27" t="inlineStr">
        <is>
          <t>Raspberry Pi 5, 8 GB</t>
        </is>
      </c>
      <c r="C11" s="27" t="inlineStr">
        <is>
          <t>Robu.in</t>
        </is>
      </c>
      <c r="D11" s="71" t="inlineStr">
        <is>
          <t>https://robu.in/product/raspberry-pi-5-model-8gb/</t>
        </is>
      </c>
      <c r="E11" s="43" t="inlineStr">
        <is>
          <t>—</t>
        </is>
      </c>
      <c r="F11" s="72" t="inlineStr">
        <is>
          <t>CONFIRM PRICE</t>
        </is>
      </c>
    </row>
    <row r="12" ht="28" customHeight="1">
      <c r="A12" s="30" t="inlineStr">
        <is>
          <t>Camera alt</t>
        </is>
      </c>
      <c r="B12" s="11" t="inlineStr">
        <is>
          <t>Arducam 12MP IMX477 motorised focus</t>
        </is>
      </c>
      <c r="C12" s="11" t="inlineStr">
        <is>
          <t>Robu.in</t>
        </is>
      </c>
      <c r="D12" s="68" t="inlineStr">
        <is>
          <t>https://robu.in/product/arducam-12mp-imx477-motorized-focus-high-quality-camera-for-raspberry-pi/</t>
        </is>
      </c>
      <c r="E12" s="69" t="n">
        <v>9600</v>
      </c>
      <c r="F12" s="70" t="inlineStr">
        <is>
          <t>LISTED</t>
        </is>
      </c>
    </row>
    <row r="13" ht="28" customHeight="1">
      <c r="A13" s="30" t="inlineStr">
        <is>
          <t>Li-ion cell alt</t>
        </is>
      </c>
      <c r="B13" s="11" t="inlineStr">
        <is>
          <t>Molicel INR-21700-P45B, 4500 mAh, 45 A</t>
        </is>
      </c>
      <c r="C13" s="11" t="inlineStr">
        <is>
          <t>Robokits India</t>
        </is>
      </c>
      <c r="D13" s="68" t="inlineStr">
        <is>
          <t>https://robokits.co.in/batteries-chargers/li-ion-cells/3.7v-21700-li-ion-cell/molicel-4500mah-10c-lithium-ion-battery-inr21700-p45b</t>
        </is>
      </c>
      <c r="E13" s="69" t="n">
        <v>405</v>
      </c>
      <c r="F13" s="70" t="inlineStr">
        <is>
          <t>LISTED</t>
        </is>
      </c>
    </row>
    <row r="14" ht="28" customHeight="1">
      <c r="A14" s="26" t="inlineStr">
        <is>
          <t>Safety radio</t>
        </is>
      </c>
      <c r="B14" s="27" t="inlineStr">
        <is>
          <t>RFDesign RFD 868ux-IND, 865-870 MHz, India-compliant</t>
        </is>
      </c>
      <c r="C14" s="27" t="inlineStr">
        <is>
          <t>XBOOM India</t>
        </is>
      </c>
      <c r="D14" s="71" t="inlineStr">
        <is>
          <t>https://www.xboom.in/shop/drones/drone-components/transmission/rfd-868ux-ind-long-range-modem-bundle/</t>
        </is>
      </c>
      <c r="E14" s="43" t="inlineStr">
        <is>
          <t>—</t>
        </is>
      </c>
      <c r="F14" s="72" t="inlineStr">
        <is>
          <t>CONFIRM PRICE</t>
        </is>
      </c>
    </row>
    <row r="15" ht="28" customHeight="1">
      <c r="A15" s="30" t="inlineStr">
        <is>
          <t>Safety radio anchor</t>
        </is>
      </c>
      <c r="B15" s="11" t="inlineStr">
        <is>
          <t>RFDesign RFD868x 32-bit ARM — BUNDLE OF TWO (air + ground)</t>
        </is>
      </c>
      <c r="C15" s="11" t="inlineStr">
        <is>
          <t>Robokits India</t>
        </is>
      </c>
      <c r="D15" s="68" t="inlineStr">
        <is>
          <t>https://robokits.co.in/multirotor-spare-parts/fpv-video-telemetry-camera/rfd868x-32-bit-arm-ultra-long-range-telemetry-modem-original</t>
        </is>
      </c>
      <c r="E15" s="69" t="n">
        <v>38709</v>
      </c>
      <c r="F15" s="70" t="inlineStr">
        <is>
          <t>LISTED</t>
        </is>
      </c>
    </row>
    <row r="16" ht="28" customHeight="1">
      <c r="A16" s="26" t="inlineStr">
        <is>
          <t>GNSS</t>
        </is>
      </c>
      <c r="B16" s="27" t="inlineStr">
        <is>
          <t>Teravolt AeroNav-1, NavIC L1+L5 — RTK NOT claimed on the page</t>
        </is>
      </c>
      <c r="C16" s="27" t="inlineStr">
        <is>
          <t>Teravolt Labs</t>
        </is>
      </c>
      <c r="D16" s="71" t="inlineStr">
        <is>
          <t>https://www.teravolt.in/product-page/aeronav-1-dual-band-gnss</t>
        </is>
      </c>
      <c r="E16" s="43" t="inlineStr">
        <is>
          <t>—</t>
        </is>
      </c>
      <c r="F16" s="72" t="inlineStr">
        <is>
          <t>RFQ</t>
        </is>
      </c>
    </row>
    <row r="17" ht="28" customHeight="1">
      <c r="A17" s="30" t="inlineStr">
        <is>
          <t>Co-processor</t>
        </is>
      </c>
      <c r="B17" s="11" t="inlineStr">
        <is>
          <t>C-DAC ARIES v3.0 / THEJAS32 — RV32IM 100 MHz, NOT an AI part</t>
        </is>
      </c>
      <c r="C17" s="11" t="inlineStr">
        <is>
          <t>C-DAC (MeitY)</t>
        </is>
      </c>
      <c r="D17" s="68" t="inlineStr">
        <is>
          <t>https://vegaprocessors.in/</t>
        </is>
      </c>
      <c r="E17" s="69" t="n">
        <v>0</v>
      </c>
      <c r="F17" s="70" t="inlineStr">
        <is>
          <t>FREE KIT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4" right="0.4" top="0.5" bottom="0.5" header="0.5" footer="0.5"/>
  <pageSetup orientation="landscape" fitToHeight="0" fitToWidth="1"/>
  <headerFooter>
    <oddHeader/>
    <oddFooter>&amp;LRescueSwarm Cost Study rev D · 2026-08-11&amp;R&amp;P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5" customWidth="1" min="3" max="3"/>
    <col width="11" customWidth="1" min="4" max="4"/>
    <col width="66" customWidth="1" min="5" max="5"/>
    <col width="17" customWidth="1" min="6" max="6"/>
    <col width="17" customWidth="1" min="7" max="7"/>
  </cols>
  <sheetData>
    <row r="1">
      <c r="A1" s="1" t="inlineStr">
        <is>
          <t>Decisions required</t>
        </is>
      </c>
    </row>
    <row r="2">
      <c r="A2" s="2" t="inlineStr">
        <is>
          <t>Decisions marked SCORING or SAFETY should not be settled on cost grounds.</t>
        </is>
      </c>
    </row>
    <row r="4" ht="30" customHeight="1">
      <c r="A4" s="7" t="inlineStr">
        <is>
          <t>ID</t>
        </is>
      </c>
      <c r="B4" s="7" t="inlineStr">
        <is>
          <t>Decision</t>
        </is>
      </c>
      <c r="C4" s="7" t="inlineStr">
        <is>
          <t>Type</t>
        </is>
      </c>
      <c r="D4" s="7" t="inlineStr">
        <is>
          <t>₹</t>
        </is>
      </c>
      <c r="E4" s="7" t="inlineStr">
        <is>
          <t>Recommendation</t>
        </is>
      </c>
      <c r="F4" s="7" t="inlineStr">
        <is>
          <t>Decision taken</t>
        </is>
      </c>
      <c r="G4" s="7" t="inlineStr">
        <is>
          <t>Owner / date</t>
        </is>
      </c>
    </row>
    <row r="5" ht="50" customHeight="1">
      <c r="A5" s="73" t="inlineStr">
        <is>
          <t>D1</t>
        </is>
      </c>
      <c r="B5" s="74" t="inlineStr">
        <is>
          <t>Which BOM is authoritative?</t>
        </is>
      </c>
      <c r="C5" s="70" t="inlineStr">
        <is>
          <t>GOVERNANCE</t>
        </is>
      </c>
      <c r="D5" s="75" t="n">
        <v>26146</v>
      </c>
      <c r="E5" s="23" t="inlineStr">
        <is>
          <t>ADOPT THE NEWER ONE, then retire the older. It names parts, publishes measured thrust and carries live links. Consequence: the aircraft costs ₹26,146 more than published, and the funding ask moves.</t>
        </is>
      </c>
      <c r="F5" s="49" t="n"/>
      <c r="G5" s="49" t="n"/>
    </row>
    <row r="6" ht="50" customHeight="1">
      <c r="A6" s="73" t="inlineStr">
        <is>
          <t>D2</t>
        </is>
      </c>
      <c r="B6" s="74" t="inlineStr">
        <is>
          <t>Adopt Option A, B or C?</t>
        </is>
      </c>
      <c r="C6" s="70" t="inlineStr">
        <is>
          <t>COMMERCIAL</t>
        </is>
      </c>
      <c r="D6" s="75" t="n">
        <v>31545</v>
      </c>
      <c r="E6" s="23" t="inlineStr">
        <is>
          <t>OPTION B. Saves ₹31,545 per aircraft with no loss of scored capability. Option C saves more but gives up ~125 geotag points and the Indian autopilot.</t>
        </is>
      </c>
      <c r="F6" s="49" t="n"/>
      <c r="G6" s="49" t="n"/>
    </row>
    <row r="7" ht="50" customHeight="1">
      <c r="A7" s="73" t="inlineStr">
        <is>
          <t>D3</t>
        </is>
      </c>
      <c r="B7" s="74" t="inlineStr">
        <is>
          <t>Substitute AI compute for Pi 5 + AI HAT+ 26 TOPS?</t>
        </is>
      </c>
      <c r="C7" s="70" t="inlineStr">
        <is>
          <t>TECHNICAL</t>
        </is>
      </c>
      <c r="D7" s="75" t="n">
        <v>35000</v>
      </c>
      <c r="E7" s="23" t="inlineStr">
        <is>
          <t>BENCHMARK, THEN ADOPT. Worth ₹35,000 — the largest single saving available. Must hit 24 inferences/s at 640×640 first.</t>
        </is>
      </c>
      <c r="F7" s="49" t="n"/>
      <c r="G7" s="49" t="n"/>
    </row>
    <row r="8" ht="50" customHeight="1">
      <c r="A8" s="73" t="inlineStr">
        <is>
          <t>D4</t>
        </is>
      </c>
      <c r="B8" s="74" t="inlineStr">
        <is>
          <t>Safety radio is underpriced</t>
        </is>
      </c>
      <c r="C8" s="70" t="inlineStr">
        <is>
          <t>BUDGET</t>
        </is>
      </c>
      <c r="D8" s="75" t="n">
        <v>-11855</v>
      </c>
      <c r="E8" s="27" t="inlineStr">
        <is>
          <t>INCREASE THE BUDGET. ₹7,500 does not buy a compliant 865–867 MHz link. Confirm the RFD 868ux-IND price.</t>
        </is>
      </c>
      <c r="F8" s="49" t="n"/>
      <c r="G8" s="49" t="n"/>
    </row>
    <row r="9" ht="50" customHeight="1">
      <c r="A9" s="73" t="inlineStr">
        <is>
          <t>D5</t>
        </is>
      </c>
      <c r="B9" s="74" t="inlineStr">
        <is>
          <t>17 in or 18 in propellers?</t>
        </is>
      </c>
      <c r="C9" s="70" t="inlineStr">
        <is>
          <t>DESIGN</t>
        </is>
      </c>
      <c r="D9" s="75" t="inlineStr">
        <is>
          <t>—</t>
        </is>
      </c>
      <c r="E9" s="27" t="inlineStr">
        <is>
          <t>DECIDE BEFORE ORDERING. The newer BOM is a 17 in aircraft; the sizing model, cost model and reconciliation script all still assume 18 in. Re-run the model on whichever wins.</t>
        </is>
      </c>
      <c r="F9" s="49" t="n"/>
      <c r="G9" s="49" t="n"/>
    </row>
    <row r="10" ht="50" customHeight="1">
      <c r="A10" s="73" t="inlineStr">
        <is>
          <t>D6</t>
        </is>
      </c>
      <c r="B10" s="74" t="inlineStr">
        <is>
          <t>Recovery parachute — no Indian supplier, nearest undersized</t>
        </is>
      </c>
      <c r="C10" s="70" t="inlineStr">
        <is>
          <t>SAFETY</t>
        </is>
      </c>
      <c r="D10" s="75" t="inlineStr">
        <is>
          <t>—</t>
        </is>
      </c>
      <c r="E10" s="27" t="inlineStr">
        <is>
          <t>RESOLVE, EXPECT TO PAY MORE. Nearest option is rated 6.2 kg against MTOW. Not in either BOM's priced lines.</t>
        </is>
      </c>
      <c r="F10" s="49" t="n"/>
      <c r="G10" s="49" t="n"/>
    </row>
  </sheetData>
  <pageMargins left="0.4" right="0.4" top="0.5" bottom="0.5" header="0.5" footer="0.5"/>
  <pageSetup orientation="landscape" fitToHeight="0" fitToWidth="1"/>
  <headerFooter>
    <oddHeader/>
    <oddFooter>&amp;LRescueSwarm Cost Study rev D · 2026-08-11&amp;R&amp;P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4" customWidth="1" min="3" max="3"/>
    <col width="5" customWidth="1" min="4" max="4"/>
    <col width="10" customWidth="1" min="5" max="5"/>
    <col width="10" customWidth="1" min="6" max="6"/>
  </cols>
  <sheetData>
    <row r="2">
      <c r="B2" s="1" t="inlineStr">
        <is>
          <t>What ₹40,000 actually buys</t>
        </is>
      </c>
    </row>
    <row r="3">
      <c r="B3" s="2" t="inlineStr">
        <is>
          <t>Specified so the answer can be checked. Not a cheaper RescueSwarm — a different, much smaller aircraft.</t>
        </is>
      </c>
    </row>
    <row r="5" ht="30" customHeight="1">
      <c r="A5" s="7" t="inlineStr"/>
      <c r="B5" s="7" t="inlineStr">
        <is>
          <t>Item</t>
        </is>
      </c>
      <c r="C5" s="7" t="inlineStr">
        <is>
          <t>Part class</t>
        </is>
      </c>
      <c r="D5" s="7" t="inlineStr">
        <is>
          <t>Qty</t>
        </is>
      </c>
      <c r="E5" s="7" t="inlineStr">
        <is>
          <t>Unit ₹</t>
        </is>
      </c>
      <c r="F5" s="7" t="inlineStr">
        <is>
          <t>Ext ₹</t>
        </is>
      </c>
    </row>
    <row r="6" ht="15" customHeight="1">
      <c r="B6" s="76" t="inlineStr">
        <is>
          <t>Frame</t>
        </is>
      </c>
      <c r="C6" s="11" t="inlineStr">
        <is>
          <t>450 mm CF/glass quad kit</t>
        </is>
      </c>
      <c r="D6" s="77" t="n">
        <v>1</v>
      </c>
      <c r="E6" s="31" t="n">
        <v>2500</v>
      </c>
      <c r="F6" s="31">
        <f>D6*E6</f>
        <v/>
      </c>
    </row>
    <row r="7" ht="15" customHeight="1">
      <c r="B7" s="76" t="inlineStr">
        <is>
          <t>Motor</t>
        </is>
      </c>
      <c r="C7" s="11" t="inlineStr">
        <is>
          <t>2216-class 900–950 KV</t>
        </is>
      </c>
      <c r="D7" s="77" t="n">
        <v>4</v>
      </c>
      <c r="E7" s="31" t="n">
        <v>600</v>
      </c>
      <c r="F7" s="31">
        <f>D7*E7</f>
        <v/>
      </c>
    </row>
    <row r="8" ht="15" customHeight="1">
      <c r="B8" s="76" t="inlineStr">
        <is>
          <t>ESC</t>
        </is>
      </c>
      <c r="C8" s="11" t="inlineStr">
        <is>
          <t>4-in-1 30 A</t>
        </is>
      </c>
      <c r="D8" s="77" t="n">
        <v>1</v>
      </c>
      <c r="E8" s="31" t="n">
        <v>2500</v>
      </c>
      <c r="F8" s="31">
        <f>D8*E8</f>
        <v/>
      </c>
    </row>
    <row r="9" ht="15" customHeight="1">
      <c r="B9" s="76" t="inlineStr">
        <is>
          <t>Propeller</t>
        </is>
      </c>
      <c r="C9" s="11" t="inlineStr">
        <is>
          <t>10 in plastic, CW/CCW</t>
        </is>
      </c>
      <c r="D9" s="77" t="n">
        <v>2</v>
      </c>
      <c r="E9" s="31" t="n">
        <v>150</v>
      </c>
      <c r="F9" s="31">
        <f>D9*E9</f>
        <v/>
      </c>
    </row>
    <row r="10" ht="15" customHeight="1">
      <c r="B10" s="76" t="inlineStr">
        <is>
          <t>Flight controller</t>
        </is>
      </c>
      <c r="C10" s="11" t="inlineStr">
        <is>
          <t>F405-class, ArduPilot-capable</t>
        </is>
      </c>
      <c r="D10" s="77" t="n">
        <v>1</v>
      </c>
      <c r="E10" s="31" t="n">
        <v>4500</v>
      </c>
      <c r="F10" s="31">
        <f>D10*E10</f>
        <v/>
      </c>
    </row>
    <row r="11" ht="15" customHeight="1">
      <c r="B11" s="76" t="inlineStr">
        <is>
          <t>GNSS</t>
        </is>
      </c>
      <c r="C11" s="11" t="inlineStr">
        <is>
          <t>M10, non-RTK</t>
        </is>
      </c>
      <c r="D11" s="77" t="n">
        <v>1</v>
      </c>
      <c r="E11" s="31" t="n">
        <v>2500</v>
      </c>
      <c r="F11" s="31">
        <f>D11*E11</f>
        <v/>
      </c>
    </row>
    <row r="12" ht="15" customHeight="1">
      <c r="B12" s="76" t="inlineStr">
        <is>
          <t>Battery</t>
        </is>
      </c>
      <c r="C12" s="11" t="inlineStr">
        <is>
          <t>4S 5200 mAh LiPo</t>
        </is>
      </c>
      <c r="D12" s="77" t="n">
        <v>2</v>
      </c>
      <c r="E12" s="31" t="n">
        <v>3500</v>
      </c>
      <c r="F12" s="31">
        <f>D12*E12</f>
        <v/>
      </c>
    </row>
    <row r="13" ht="15" customHeight="1">
      <c r="B13" s="76" t="inlineStr">
        <is>
          <t>RC receiver</t>
        </is>
      </c>
      <c r="C13" s="11" t="inlineStr">
        <is>
          <t>ELRS 2.4 GHz</t>
        </is>
      </c>
      <c r="D13" s="77" t="n">
        <v>1</v>
      </c>
      <c r="E13" s="31" t="n">
        <v>1200</v>
      </c>
      <c r="F13" s="31">
        <f>D13*E13</f>
        <v/>
      </c>
    </row>
    <row r="14" ht="15" customHeight="1">
      <c r="B14" s="76" t="inlineStr">
        <is>
          <t>Telemetry radio</t>
        </is>
      </c>
      <c r="C14" s="11" t="inlineStr">
        <is>
          <t>915 MHz pair</t>
        </is>
      </c>
      <c r="D14" s="77" t="n">
        <v>1</v>
      </c>
      <c r="E14" s="31" t="n">
        <v>2000</v>
      </c>
      <c r="F14" s="31">
        <f>D14*E14</f>
        <v/>
      </c>
    </row>
    <row r="15" ht="15" customHeight="1">
      <c r="B15" s="76" t="inlineStr">
        <is>
          <t>Camera + compute</t>
        </is>
      </c>
      <c r="C15" s="11" t="inlineStr">
        <is>
          <t>Pi Zero 2 W + CSI camera, streaming only</t>
        </is>
      </c>
      <c r="D15" s="77" t="n">
        <v>1</v>
      </c>
      <c r="E15" s="31" t="n">
        <v>4500</v>
      </c>
      <c r="F15" s="31">
        <f>D15*E15</f>
        <v/>
      </c>
    </row>
    <row r="16" ht="15" customHeight="1">
      <c r="B16" s="76" t="inlineStr">
        <is>
          <t>Release servo</t>
        </is>
      </c>
      <c r="C16" s="11" t="inlineStr">
        <is>
          <t>Single station + printed catch</t>
        </is>
      </c>
      <c r="D16" s="77" t="n">
        <v>1</v>
      </c>
      <c r="E16" s="31" t="n">
        <v>700</v>
      </c>
      <c r="F16" s="31">
        <f>D16*E16</f>
        <v/>
      </c>
    </row>
    <row r="17" ht="15" customHeight="1">
      <c r="B17" s="76" t="inlineStr">
        <is>
          <t>PDB, wiring, connectors</t>
        </is>
      </c>
      <c r="C17" s="11" t="inlineStr">
        <is>
          <t>Commodity</t>
        </is>
      </c>
      <c r="D17" s="77" t="n">
        <v>1</v>
      </c>
      <c r="E17" s="31" t="n">
        <v>1800</v>
      </c>
      <c r="F17" s="31">
        <f>D17*E17</f>
        <v/>
      </c>
    </row>
    <row r="18" ht="15" customHeight="1">
      <c r="B18" s="76" t="inlineStr">
        <is>
          <t>Fasteners, standoffs</t>
        </is>
      </c>
      <c r="C18" s="11" t="inlineStr">
        <is>
          <t>Commodity</t>
        </is>
      </c>
      <c r="D18" s="77" t="n">
        <v>1</v>
      </c>
      <c r="E18" s="31" t="n">
        <v>1000</v>
      </c>
      <c r="F18" s="31">
        <f>D18*E18</f>
        <v/>
      </c>
    </row>
    <row r="19" ht="15" customHeight="1">
      <c r="B19" s="76" t="inlineStr">
        <is>
          <t>Test-campaign spares</t>
        </is>
      </c>
      <c r="C19" s="11" t="inlineStr">
        <is>
          <t>Props, arms, spare pack</t>
        </is>
      </c>
      <c r="D19" s="77" t="n">
        <v>1</v>
      </c>
      <c r="E19" s="31" t="n">
        <v>2500</v>
      </c>
      <c r="F19" s="31">
        <f>D19*E19</f>
        <v/>
      </c>
    </row>
    <row r="20">
      <c r="B20" s="34" t="inlineStr">
        <is>
          <t>TOTAL</t>
        </is>
      </c>
      <c r="C20" s="35" t="n"/>
      <c r="D20" s="35" t="n"/>
      <c r="E20" s="35" t="n"/>
      <c r="F20" s="36">
        <f>SUM(F6:F19)</f>
        <v/>
      </c>
    </row>
    <row r="22" ht="20" customHeight="1">
      <c r="A22" s="4" t="inlineStr">
        <is>
          <t xml:space="preserve">  WHAT IT CANNOT DO — every line is a requirement failure</t>
        </is>
      </c>
      <c r="B22" s="5" t="n"/>
      <c r="C22" s="5" t="n"/>
      <c r="D22" s="5" t="n"/>
      <c r="E22" s="5" t="n"/>
      <c r="F22" s="5" t="n"/>
    </row>
    <row r="23" ht="22" customHeight="1">
      <c r="B23" s="30" t="inlineStr">
        <is>
          <t>Carry 4 × 200 g kits</t>
        </is>
      </c>
      <c r="C23" s="11" t="inlineStr">
        <is>
          <t>800 g of payload on a ~1.3 kg airframe. Rule C6 fixes the kit at exactly 200 g.</t>
        </is>
      </c>
      <c r="D23" s="33" t="n"/>
      <c r="E23" s="33" t="n"/>
      <c r="F23" s="33" t="n"/>
    </row>
    <row r="24" ht="22" customHeight="1">
      <c r="B24" s="30" t="inlineStr">
        <is>
          <t>15 min hover endurance</t>
        </is>
      </c>
      <c r="C24" s="11" t="inlineStr">
        <is>
          <t>Not at that payload fraction on a 4S 5200 pack.</t>
        </is>
      </c>
      <c r="D24" s="33" t="n"/>
      <c r="E24" s="33" t="n"/>
      <c r="F24" s="33" t="n"/>
    </row>
    <row r="25" ht="22" customHeight="1">
      <c r="B25" s="30" t="inlineStr">
        <is>
          <t>Recovery parachute</t>
        </is>
      </c>
      <c r="C25" s="11" t="inlineStr">
        <is>
          <t>None fitted, and no mass budget to add one.</t>
        </is>
      </c>
      <c r="D25" s="33" t="n"/>
      <c r="E25" s="33" t="n"/>
      <c r="F25" s="33" t="n"/>
    </row>
    <row r="26" ht="22" customHeight="1">
      <c r="B26" s="30" t="inlineStr">
        <is>
          <t>Live feed from each drone</t>
        </is>
      </c>
      <c r="C26" s="11" t="inlineStr">
        <is>
          <t>A Pi Zero 2 W cannot encode three concurrent H.264 feeds in 2.5 Mbps.</t>
        </is>
      </c>
      <c r="D26" s="33" t="n"/>
      <c r="E26" s="33" t="n"/>
      <c r="F26" s="33" t="n"/>
    </row>
    <row r="27" ht="22" customHeight="1">
      <c r="B27" s="30" t="inlineStr">
        <is>
          <t>Onboard detection at 2 Hz</t>
        </is>
      </c>
      <c r="C27" s="11" t="inlineStr">
        <is>
          <t>No NPU or GPU at all.</t>
        </is>
      </c>
      <c r="D27" s="33" t="n"/>
      <c r="E27" s="33" t="n"/>
      <c r="F27" s="33" t="n"/>
    </row>
    <row r="28" ht="22" customHeight="1">
      <c r="B28" s="30" t="inlineStr">
        <is>
          <t>Geotag accuracy</t>
        </is>
      </c>
      <c r="C28" s="11" t="inlineStr">
        <is>
          <t>Non-RTK gives ~3.1 m against ~1.3 m. About 125 of 200 points forfeited.</t>
        </is>
      </c>
      <c r="D28" s="33" t="n"/>
      <c r="E28" s="33" t="n"/>
      <c r="F28" s="33" t="n"/>
    </row>
    <row r="29" ht="22" customHeight="1">
      <c r="B29" s="30" t="inlineStr">
        <is>
          <t>Thrust-to-weight 2.0</t>
        </is>
      </c>
      <c r="C29" s="11" t="inlineStr">
        <is>
          <t>Loaded, nowhere near it.</t>
        </is>
      </c>
      <c r="D29" s="33" t="n"/>
      <c r="E29" s="33" t="n"/>
      <c r="F29" s="33" t="n"/>
    </row>
    <row r="30" ht="22" customHeight="1">
      <c r="B30" s="30" t="inlineStr">
        <is>
          <t>600 m range with margin</t>
        </is>
      </c>
      <c r="C30" s="11" t="inlineStr">
        <is>
          <t>One 915 MHz link, no mesh, no redundant safety radio.</t>
        </is>
      </c>
      <c r="D30" s="33" t="n"/>
      <c r="E30" s="33" t="n"/>
      <c r="F30" s="33" t="n"/>
    </row>
    <row r="32" ht="20" customHeight="1">
      <c r="A32" s="4" t="inlineStr">
        <is>
          <t xml:space="preserve">  THE USEFUL VERSION OF THIS IDEA</t>
        </is>
      </c>
      <c r="B32" s="5" t="n"/>
      <c r="C32" s="5" t="n"/>
      <c r="D32" s="5" t="n"/>
      <c r="E32" s="5" t="n"/>
      <c r="F32" s="5" t="n"/>
    </row>
    <row r="33" ht="14" customHeight="1">
      <c r="B33" s="18" t="inlineStr">
        <is>
          <t>This is not a competition entry. It is a good DEVELOPMENT MULE.</t>
        </is>
      </c>
    </row>
    <row r="34" ht="14" customHeight="1">
      <c r="B34" s="78" t="inlineStr"/>
    </row>
    <row r="35" ht="14" customHeight="1">
      <c r="B35" s="78" t="inlineStr">
        <is>
          <t>The programme's binding constraint is an 8-week flight-test window, currently budgeted entirely on</t>
        </is>
      </c>
    </row>
    <row r="36" ht="14" customHeight="1">
      <c r="B36" s="78" t="inlineStr">
        <is>
          <t>an aircraft that does not exist yet and cannot be risked once it does. A mule flies from week 1 and</t>
        </is>
      </c>
    </row>
    <row r="37" ht="14" customHeight="1">
      <c r="B37" s="78" t="inlineStr">
        <is>
          <t>absorbs the work that does not need the real airframe: ground-station integration against a real</t>
        </is>
      </c>
    </row>
    <row r="38" ht="14" customHeight="1">
      <c r="B38" s="78" t="inlineStr">
        <is>
          <t>telemetry stream, the multi-aircraft radio path with real radios, pilot currency, the 5-minute setup</t>
        </is>
      </c>
    </row>
    <row r="39" ht="14" customHeight="1">
      <c r="B39" s="78" t="inlineStr">
        <is>
          <t>drill, failsafe behaviour on real hardware, and crash-and-rebuild practice.</t>
        </is>
      </c>
    </row>
    <row r="40" ht="14" customHeight="1">
      <c r="B40" s="78" t="inlineStr"/>
    </row>
    <row r="41" ht="14" customHeight="1">
      <c r="B41" s="78" t="inlineStr">
        <is>
          <t>Three mules cost about half of one AI compute module under Option A.</t>
        </is>
      </c>
    </row>
    <row r="42" ht="14" customHeight="1">
      <c r="B42" s="78" t="inlineStr"/>
    </row>
    <row r="43" ht="14" customHeight="1">
      <c r="B43" s="18" t="inlineStr">
        <is>
          <t>RECOMMENDATION: do not pursue a ₹40,000 competition aircraft. Do consider ₹40,000 mules as</t>
        </is>
      </c>
    </row>
    <row r="44" ht="14" customHeight="1">
      <c r="B44" s="78" t="inlineStr">
        <is>
          <t>flight-test infrastructure, funded from contingency rather than the airframe budget.</t>
        </is>
      </c>
    </row>
  </sheetData>
  <mergeCells count="20">
    <mergeCell ref="C23:F23"/>
    <mergeCell ref="C28:F28"/>
    <mergeCell ref="B43:F43"/>
    <mergeCell ref="B39:F39"/>
    <mergeCell ref="B42:F42"/>
    <mergeCell ref="C30:F30"/>
    <mergeCell ref="C24:F24"/>
    <mergeCell ref="B44:F44"/>
    <mergeCell ref="B38:F38"/>
    <mergeCell ref="B34:F34"/>
    <mergeCell ref="C26:F26"/>
    <mergeCell ref="C29:F29"/>
    <mergeCell ref="B37:F37"/>
    <mergeCell ref="C25:F25"/>
    <mergeCell ref="B40:F40"/>
    <mergeCell ref="B33:F33"/>
    <mergeCell ref="B36:F36"/>
    <mergeCell ref="C27:F27"/>
    <mergeCell ref="B41:F41"/>
    <mergeCell ref="B35:F35"/>
  </mergeCells>
  <pageMargins left="0.4" right="0.4" top="0.5" bottom="0.5" header="0.5" footer="0.5"/>
  <pageSetup orientation="portrait" fitToHeight="0" fitToWidth="1"/>
  <headerFooter>
    <oddHeader/>
    <oddFooter>&amp;LRescueSwarm Cost Study rev D · 2026-08-11&amp;R&amp;P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2026-08-10T20:28:38Z</dcterms:created>
  <dcterms:modified xmlns:dcterms="http://purl.org/dc/terms/" xmlns:xsi="http://www.w3.org/2001/XMLSchema-instance" xsi:type="dcterms:W3CDTF">2026-08-10T20:28:39Z</dcterms:modified>
</cp:coreProperties>
</file>