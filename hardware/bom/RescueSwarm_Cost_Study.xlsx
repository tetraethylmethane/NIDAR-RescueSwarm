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Summary" sheetId="1" state="visible" r:id="rId1"/>
    <sheet xmlns:r="http://schemas.openxmlformats.org/officeDocument/2006/relationships" name="01 Adopted Aircraft" sheetId="2" state="visible" r:id="rId2"/>
    <sheet xmlns:r="http://schemas.openxmlformats.org/officeDocument/2006/relationships" name="02 Programme Budget" sheetId="3" state="visible" r:id="rId3"/>
    <sheet xmlns:r="http://schemas.openxmlformats.org/officeDocument/2006/relationships" name="03 Deferred" sheetId="4" state="visible" r:id="rId4"/>
    <sheet xmlns:r="http://schemas.openxmlformats.org/officeDocument/2006/relationships" name="04 Evidence" sheetId="5" state="visible" r:id="rId5"/>
  </sheets>
  <definedNames>
    <definedName name="_xlnm.Print_Titles" localSheetId="1">'01 Adopted Aircraft'!$1:$4</definedName>
    <definedName name="_xlnm.Print_Titles" localSheetId="2">'02 Programme Budget'!$1:$4</definedName>
    <definedName name="_xlnm.Print_Titles" localSheetId="4">'04 Evidence'!$1:$4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[Red]-#,##0"/>
  </numFmts>
  <fonts count="12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color rgb="007F7F7F"/>
      <sz val="9"/>
    </font>
    <font>
      <name val="Calibri"/>
      <b val="1"/>
      <color rgb="00C0000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00"/>
      <sz val="9"/>
    </font>
    <font>
      <name val="Calibri"/>
      <b val="1"/>
      <color rgb="00000000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1F3864"/>
      <sz val="10"/>
    </font>
    <font>
      <name val="Calibri"/>
      <color rgb="000563C1"/>
      <sz val="9"/>
      <u val="single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DCE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hair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1" pivotButton="0" quotePrefix="0" xfId="0"/>
    <xf numFmtId="3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applyAlignment="1" pivotButton="0" quotePrefix="0" xfId="0">
      <alignment vertical="top" wrapText="1"/>
    </xf>
    <xf numFmtId="0" fontId="7" fillId="3" borderId="1" pivotButton="0" quotePrefix="0" xfId="0"/>
    <xf numFmtId="3" fontId="7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vertical="top" wrapText="1"/>
    </xf>
    <xf numFmtId="0" fontId="5" fillId="2" borderId="1" pivotButton="0" quotePrefix="0" xfId="0"/>
    <xf numFmtId="164" fontId="5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2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/>
    </xf>
    <xf numFmtId="3" fontId="0" fillId="4" borderId="1" pivotButton="0" quotePrefix="0" xfId="0"/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3" fontId="0" fillId="0" borderId="1" pivotButton="0" quotePrefix="0" xfId="0"/>
    <xf numFmtId="0" fontId="0" fillId="3" borderId="0" pivotButton="0" quotePrefix="0" xfId="0"/>
    <xf numFmtId="0" fontId="7" fillId="3" borderId="0" pivotButton="0" quotePrefix="0" xfId="0"/>
    <xf numFmtId="3" fontId="7" fillId="3" borderId="0" pivotButton="0" quotePrefix="0" xfId="0"/>
    <xf numFmtId="0" fontId="10" fillId="5" borderId="0" pivotButton="0" quotePrefix="0" xfId="0"/>
    <xf numFmtId="0" fontId="0" fillId="5" borderId="0" pivotButton="0" quotePrefix="0" xfId="0"/>
    <xf numFmtId="165" fontId="0" fillId="0" borderId="1" pivotButton="0" quotePrefix="0" xfId="0"/>
    <xf numFmtId="0" fontId="0" fillId="6" borderId="1" pivotButton="0" quotePrefix="0" xfId="0"/>
    <xf numFmtId="0" fontId="0" fillId="6" borderId="1" applyAlignment="1" pivotButton="0" quotePrefix="0" xfId="0">
      <alignment vertical="top" wrapText="1"/>
    </xf>
    <xf numFmtId="3" fontId="0" fillId="6" borderId="1" pivotButton="0" quotePrefix="0" xfId="0"/>
    <xf numFmtId="165" fontId="0" fillId="6" borderId="1" pivotButton="0" quotePrefix="0" xfId="0"/>
    <xf numFmtId="0" fontId="6" fillId="6" borderId="1" applyAlignment="1" pivotButton="0" quotePrefix="0" xfId="0">
      <alignment vertical="top" wrapText="1"/>
    </xf>
    <xf numFmtId="0" fontId="0" fillId="4" borderId="1" pivotButton="0" quotePrefix="0" xfId="0"/>
    <xf numFmtId="165" fontId="0" fillId="4" borderId="1" pivotButton="0" quotePrefix="0" xfId="0"/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 wrapText="1"/>
    </xf>
    <xf numFmtId="3" fontId="0" fillId="3" borderId="1" pivotButton="0" quotePrefix="0" xfId="0"/>
    <xf numFmtId="0" fontId="7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3" fontId="0" fillId="0" borderId="1" applyAlignment="1" pivotButton="0" quotePrefix="0" xfId="0">
      <alignment horizontal="center" vertical="top"/>
    </xf>
    <xf numFmtId="0" fontId="7" fillId="6" borderId="1" applyAlignment="1" pivotButton="0" quotePrefix="0" xfId="0">
      <alignment vertical="top" wrapText="1"/>
    </xf>
    <xf numFmtId="0" fontId="11" fillId="6" borderId="1" applyAlignment="1" pivotButton="0" quotePrefix="0" xfId="0">
      <alignment vertical="top" wrapText="1"/>
    </xf>
    <xf numFmtId="3" fontId="0" fillId="6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indiamart.com/proddetail/pixhawk-6c-mini-flight-controller-2852778303248.html" TargetMode="External" Id="rId1"/><Relationship Type="http://schemas.openxmlformats.org/officeDocument/2006/relationships/hyperlink" Target="https://www.agamrobotics.com/product-page/agam-pixhawk-6x-full-set" TargetMode="External" Id="rId2"/><Relationship Type="http://schemas.openxmlformats.org/officeDocument/2006/relationships/hyperlink" Target="https://reflexdrive.in/product/rd-mi-5008-motor/" TargetMode="External" Id="rId3"/><Relationship Type="http://schemas.openxmlformats.org/officeDocument/2006/relationships/hyperlink" Target="https://reflexdrive.in/product/rd-a-series-foc-esc-60a/" TargetMode="External" Id="rId4"/><Relationship Type="http://schemas.openxmlformats.org/officeDocument/2006/relationships/hyperlink" Target="https://evreporter.com/godi-receives-bis-certification-to-sell-li-ion-cells-in-india/" TargetMode="External" Id="rId5"/><Relationship Type="http://schemas.openxmlformats.org/officeDocument/2006/relationships/hyperlink" Target="https://robu.in/product/arducam-12mp-imx477-motorized-focus-high-quality-camera-for-raspberry-pi/" TargetMode="External" Id="rId6"/><Relationship Type="http://schemas.openxmlformats.org/officeDocument/2006/relationships/hyperlink" Target="https://www.teravolt.in/product-page/aeronav-1-dual-band-gnss" TargetMode="External" Id="rId7"/><Relationship Type="http://schemas.openxmlformats.org/officeDocument/2006/relationships/hyperlink" Target="https://robu.in/product/raspberry-pi-ai-hat-26-tops/" TargetMode="External" Id="rId8"/><Relationship Type="http://schemas.openxmlformats.org/officeDocument/2006/relationships/hyperlink" Target="https://www.xboom.in/shop/drones/drone-components/transmission/rfd-868ux-ind-long-range-modem-bundle/" TargetMode="External" Id="rId9"/><Relationship Type="http://schemas.openxmlformats.org/officeDocument/2006/relationships/hyperlink" Target="https://vegaprocessors.in/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6" customWidth="1" min="3" max="3"/>
    <col width="16" customWidth="1" min="4" max="4"/>
    <col width="44" customWidth="1" min="5" max="5"/>
  </cols>
  <sheetData>
    <row r="2">
      <c r="B2" s="1" t="inlineStr">
        <is>
          <t>RescueSwarm - Air Vehicle Cost Study</t>
        </is>
      </c>
    </row>
    <row r="3">
      <c r="B3" s="2" t="inlineStr">
        <is>
          <t>Revision F - 2026-08-16 - NIDAR 2026-27, Track 1</t>
        </is>
      </c>
    </row>
    <row r="4">
      <c r="B4" s="3" t="inlineStr">
        <is>
          <t>GENERATED FILE. Do not edit by hand - run hardware/bom/build_cost_study.py</t>
        </is>
      </c>
    </row>
    <row r="6" ht="20" customHeight="1">
      <c r="A6" s="4" t="inlineStr">
        <is>
          <t xml:space="preserve">  SINGLE SOURCE OF TRUTH</t>
        </is>
      </c>
      <c r="B6" s="5" t="n"/>
      <c r="C6" s="5" t="n"/>
      <c r="D6" s="5" t="n"/>
      <c r="E6" s="5" t="n"/>
    </row>
    <row r="7">
      <c r="B7" s="6" t="inlineStr">
        <is>
          <t>Every figure in this workbook is imported from docs/proposal/figures/competition_budget.py, which is also what the funding proposal derives from. An earlier hand-built version of this workbook drifted until it disagreed with the proposal about the headline number. That cannot now happen: change the configuration, re-run this script, and both follow.</t>
        </is>
      </c>
    </row>
    <row r="8"/>
    <row r="9"/>
    <row r="11" ht="20" customHeight="1">
      <c r="A11" s="4" t="inlineStr">
        <is>
          <t xml:space="preserve">  THE ASK</t>
        </is>
      </c>
      <c r="B11" s="5" t="n"/>
      <c r="C11" s="5" t="n"/>
      <c r="D11" s="5" t="n"/>
      <c r="E11" s="5" t="n"/>
    </row>
    <row r="12" ht="16" customHeight="1">
      <c r="B12" s="7" t="inlineStr">
        <is>
          <t>Per aircraft</t>
        </is>
      </c>
      <c r="C12" s="8" t="n">
        <v>157800</v>
      </c>
      <c r="D12" s="9" t="n"/>
      <c r="E12" s="10" t="inlineStr">
        <is>
          <t>3 aircraft</t>
        </is>
      </c>
    </row>
    <row r="13" ht="16" customHeight="1">
      <c r="B13" s="7" t="inlineStr">
        <is>
          <t>Air vehicles, fleet</t>
        </is>
      </c>
      <c r="C13" s="8" t="n">
        <v>473400</v>
      </c>
      <c r="D13" s="9" t="n"/>
      <c r="E13" s="10" t="inlineStr"/>
    </row>
    <row r="14" ht="16" customHeight="1">
      <c r="B14" s="7" t="inlineStr">
        <is>
          <t>Subtotal, whole programme</t>
        </is>
      </c>
      <c r="C14" s="8" t="n">
        <v>653260</v>
      </c>
      <c r="D14" s="9" t="n"/>
      <c r="E14" s="10" t="inlineStr">
        <is>
          <t>All groups</t>
        </is>
      </c>
    </row>
    <row r="15" ht="16" customHeight="1">
      <c r="B15" s="7" t="inlineStr">
        <is>
          <t>Tax-inclusive retail</t>
        </is>
      </c>
      <c r="C15" s="8" t="n">
        <v>466000</v>
      </c>
      <c r="D15" s="9" t="n"/>
      <c r="E15" s="10" t="inlineStr">
        <is>
          <t>Dated Indian listings. No tax added.</t>
        </is>
      </c>
    </row>
    <row r="16" ht="16" customHeight="1">
      <c r="B16" s="7" t="inlineStr">
        <is>
          <t>Ex-GST quotes and services</t>
        </is>
      </c>
      <c r="C16" s="8" t="n">
        <v>182260</v>
      </c>
      <c r="D16" s="9" t="n"/>
      <c r="E16" s="10" t="inlineStr">
        <is>
          <t>Quotes and fabrication. Taxed.</t>
        </is>
      </c>
    </row>
    <row r="17" ht="16" customHeight="1">
      <c r="B17" s="7" t="inlineStr">
        <is>
          <t>Duty and freight</t>
        </is>
      </c>
      <c r="C17" s="8" t="n">
        <v>25863</v>
      </c>
      <c r="D17" s="9" t="n"/>
      <c r="E17" s="10" t="inlineStr">
        <is>
          <t>22%, ex-tax lines only</t>
        </is>
      </c>
    </row>
    <row r="18" ht="16" customHeight="1">
      <c r="B18" s="11" t="inlineStr">
        <is>
          <t>GST</t>
        </is>
      </c>
      <c r="C18" s="12" t="n">
        <v>37462</v>
      </c>
      <c r="D18" s="13" t="n"/>
      <c r="E18" s="14" t="inlineStr">
        <is>
          <t>18%, ex-tax lines only</t>
        </is>
      </c>
    </row>
    <row r="19" ht="16" customHeight="1">
      <c r="B19" s="7" t="inlineStr">
        <is>
          <t>Contingency</t>
        </is>
      </c>
      <c r="C19" s="8" t="n">
        <v>107488</v>
      </c>
      <c r="D19" s="9" t="n"/>
      <c r="E19" s="10" t="inlineStr">
        <is>
          <t>15% - phased release is itself a reserve</t>
        </is>
      </c>
    </row>
    <row r="20" ht="16" customHeight="1">
      <c r="B20" s="11" t="inlineStr">
        <is>
          <t>TOTAL ASK</t>
        </is>
      </c>
      <c r="C20" s="12" t="n">
        <v>824072</v>
      </c>
      <c r="D20" s="13" t="n"/>
      <c r="E20" s="14" t="inlineStr">
        <is>
          <t>8.24 lakh</t>
        </is>
      </c>
    </row>
    <row r="21" ht="16" customHeight="1">
      <c r="B21" s="7" t="inlineStr">
        <is>
          <t>Institutional contribution</t>
        </is>
      </c>
      <c r="C21" s="8" t="n">
        <v>354000</v>
      </c>
      <c r="D21" s="9" t="n"/>
      <c r="E21" s="10" t="inlineStr">
        <is>
          <t>Equipment already held - co-funding in kind</t>
        </is>
      </c>
    </row>
    <row r="22" ht="20" customHeight="1">
      <c r="A22" s="4" t="inlineStr">
        <is>
          <t xml:space="preserve">  WHAT THIS CONFIGURATION GIVES UP</t>
        </is>
      </c>
      <c r="B22" s="15" t="inlineStr">
        <is>
          <t>Indigenous content</t>
        </is>
      </c>
      <c r="C22" s="16" t="n">
        <v>0.355</v>
      </c>
      <c r="D22" s="17" t="n"/>
      <c r="E22" s="18" t="inlineStr">
        <is>
          <t>Computed from per-line fractions, not estimated</t>
        </is>
      </c>
    </row>
    <row r="23" ht="26" customHeight="1">
      <c r="B23" s="19" t="inlineStr">
        <is>
          <t>- Nothing that is scored. RTK geolocation, onboard detection at rate, three concurrent video feeds and four-station delivery all survive.</t>
        </is>
      </c>
    </row>
    <row r="24" ht="26" customHeight="1">
      <c r="B24" s="19" t="inlineStr">
        <is>
          <t>- Margin: published thrust data, supplier support, spares depth.</t>
        </is>
      </c>
    </row>
    <row r="25" ht="26" customHeight="1">
      <c r="B25" s="19" t="inlineStr">
        <is>
          <t>- Indigenous content, 58% -&gt; 36%. The imported autopilot and generic propulsion are what make it affordable and what make it less Indian.</t>
        </is>
      </c>
    </row>
    <row r="26" ht="26" customHeight="1">
      <c r="B26" s="19" t="inlineStr">
        <is>
          <t>- Restoring the Indian autopilot and propulsion costs about 1.39 L across the fleet.</t>
        </is>
      </c>
    </row>
    <row r="28" ht="20" customHeight="1">
      <c r="A28" s="4" t="inlineStr">
        <is>
          <t xml:space="preserve">  THREE THINGS THAT GATE THIS NUMBER</t>
        </is>
      </c>
      <c r="B28" s="5" t="n"/>
      <c r="C28" s="5" t="n"/>
      <c r="D28" s="5" t="n"/>
      <c r="E28" s="5" t="n"/>
    </row>
    <row r="29" ht="40" customHeight="1">
      <c r="B29" s="19" t="inlineStr">
        <is>
          <t>1.  INSURANCE was deferred at team direction. Third-party cover is commonly mandatory for Indian UAV operations. Confirm before any flight.</t>
        </is>
      </c>
    </row>
    <row r="30" ht="40" customHeight="1">
      <c r="B30" s="19" t="inlineStr">
        <is>
          <t>2.  DUTY AND GST MAY BE DOUBLE-COUNTED. The model adds 22% duty and 18% GST on top of prices that are largely Indian retail listings, already duty- and tax-paid. Exposure is roughly 2.3 L. A per-line audit is the largest remaining correction and it is an accounting fix, not a capability cut.</t>
        </is>
      </c>
    </row>
    <row r="31" ht="40" customHeight="1">
      <c r="B31" s="19" t="inlineStr">
        <is>
          <t>3.  MOTOR THRUST is unverified. The selected motors publish no thrust curve; the stand characterises them in P5, and a shortfall then forces a propulsion change.</t>
        </is>
      </c>
    </row>
  </sheetData>
  <mergeCells count="8">
    <mergeCell ref="B31:E31"/>
    <mergeCell ref="B26:E26"/>
    <mergeCell ref="B23:E23"/>
    <mergeCell ref="B30:E30"/>
    <mergeCell ref="B29:E29"/>
    <mergeCell ref="B25:E25"/>
    <mergeCell ref="B24:E24"/>
    <mergeCell ref="B7:E9"/>
  </mergeCells>
  <pageMargins left="0.4" right="0.4" top="0.5" bottom="0.5" header="0.5" footer="0.5"/>
  <pageSetup orientation="portrait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2" customWidth="1" min="2" max="2"/>
    <col width="5" customWidth="1" min="3" max="3"/>
    <col width="11" customWidth="1" min="4" max="4"/>
    <col width="11" customWidth="1" min="5" max="5"/>
    <col width="74" customWidth="1" min="6" max="6"/>
  </cols>
  <sheetData>
    <row r="1">
      <c r="A1" s="1" t="inlineStr">
        <is>
          <t>Adopted air vehicle - 157,800 per aircraft</t>
        </is>
      </c>
    </row>
    <row r="2">
      <c r="A2" s="2" t="inlineStr">
        <is>
          <t>KEEP marks a line held at professional grade on purpose. Everything else is hobby-grade, chosen where the failure mode is visible and the rating is easy to verify on a bench.</t>
        </is>
      </c>
    </row>
    <row r="4" ht="28" customHeight="1">
      <c r="A4" s="20" t="inlineStr">
        <is>
          <t>Grade</t>
        </is>
      </c>
      <c r="B4" s="20" t="inlineStr">
        <is>
          <t>Component</t>
        </is>
      </c>
      <c r="C4" s="20" t="inlineStr">
        <is>
          <t>Qty</t>
        </is>
      </c>
      <c r="D4" s="20" t="inlineStr">
        <is>
          <t>Unit INR</t>
        </is>
      </c>
      <c r="E4" s="20" t="inlineStr">
        <is>
          <t>Ext INR</t>
        </is>
      </c>
      <c r="F4" s="20" t="inlineStr">
        <is>
          <t>Why this grade</t>
        </is>
      </c>
    </row>
    <row r="5" ht="26" customHeight="1">
      <c r="A5" s="21" t="inlineStr">
        <is>
          <t>KEEP</t>
        </is>
      </c>
      <c r="B5" s="22" t="inlineStr">
        <is>
          <t>Flight controller</t>
        </is>
      </c>
      <c r="C5" s="23" t="n">
        <v>1</v>
      </c>
      <c r="D5" s="24" t="n">
        <v>22600</v>
      </c>
      <c r="E5" s="24">
        <f>C5*D5</f>
        <v/>
      </c>
      <c r="F5" s="25" t="inlineStr">
        <is>
          <t>Holybro Pixhawk 6C Mini. Dual IMU, Pixhawk standard, ArduPilot native.</t>
        </is>
      </c>
    </row>
    <row r="6" ht="26" customHeight="1">
      <c r="A6" s="21" t="inlineStr">
        <is>
          <t>KEEP</t>
        </is>
      </c>
      <c r="B6" s="22" t="inlineStr">
        <is>
          <t>AI accelerator</t>
        </is>
      </c>
      <c r="C6" s="23" t="n">
        <v>1</v>
      </c>
      <c r="D6" s="24" t="n">
        <v>20000</v>
      </c>
      <c r="E6" s="24">
        <f>C6*D6</f>
        <v/>
      </c>
      <c r="F6" s="25" t="inlineStr">
        <is>
          <t>26 TOPS. The specification floor, not a preference.</t>
        </is>
      </c>
    </row>
    <row r="7" ht="26" customHeight="1">
      <c r="A7" s="21" t="inlineStr">
        <is>
          <t>KEEP</t>
        </is>
      </c>
      <c r="B7" s="22" t="inlineStr">
        <is>
          <t>GNSS RTK primary</t>
        </is>
      </c>
      <c r="C7" s="23" t="n">
        <v>1</v>
      </c>
      <c r="D7" s="24" t="n">
        <v>18000</v>
      </c>
      <c r="E7" s="24">
        <f>C7*D7</f>
        <v/>
      </c>
      <c r="F7" s="25" t="inlineStr">
        <is>
          <t>No cheaper RTK-capable part exists. Governs 125 of 200 geotag points.</t>
        </is>
      </c>
    </row>
    <row r="8" ht="26" customHeight="1">
      <c r="A8" s="26" t="inlineStr">
        <is>
          <t>hobby</t>
        </is>
      </c>
      <c r="B8" s="27" t="inlineStr">
        <is>
          <t>Motors</t>
        </is>
      </c>
      <c r="C8" s="28" t="n">
        <v>4</v>
      </c>
      <c r="D8" s="29" t="n">
        <v>4500</v>
      </c>
      <c r="E8" s="29">
        <f>C8*D8</f>
        <v/>
      </c>
      <c r="F8" s="10" t="inlineStr">
        <is>
          <t>Generic 5008-class. NO PUBLISHED THRUST -- verify on the thrust stand.</t>
        </is>
      </c>
    </row>
    <row r="9" ht="26" customHeight="1">
      <c r="A9" s="21" t="inlineStr">
        <is>
          <t>KEEP</t>
        </is>
      </c>
      <c r="B9" s="22" t="inlineStr">
        <is>
          <t>Li-ion cells</t>
        </is>
      </c>
      <c r="C9" s="23" t="n">
        <v>18</v>
      </c>
      <c r="D9" s="24" t="n">
        <v>700</v>
      </c>
      <c r="E9" s="24">
        <f>C9*D9</f>
        <v/>
      </c>
      <c r="F9" s="25" t="inlineStr">
        <is>
          <t>Capacity- and IR-matched. One weak cell defines the whole pack.</t>
        </is>
      </c>
    </row>
    <row r="10" ht="26" customHeight="1">
      <c r="A10" s="21" t="inlineStr">
        <is>
          <t>KEEP</t>
        </is>
      </c>
      <c r="B10" s="22" t="inlineStr">
        <is>
          <t>Structure</t>
        </is>
      </c>
      <c r="C10" s="23" t="n">
        <v>1</v>
      </c>
      <c r="D10" s="24" t="n">
        <v>13000</v>
      </c>
      <c r="E10" s="24">
        <f>C10*D10</f>
        <v/>
      </c>
      <c r="F10" s="25" t="inlineStr">
        <is>
          <t>In-house fabrication; institute machine shop confirmed.</t>
        </is>
      </c>
    </row>
    <row r="11" ht="26" customHeight="1">
      <c r="A11" s="21" t="inlineStr">
        <is>
          <t>KEEP</t>
        </is>
      </c>
      <c r="B11" s="22" t="inlineStr">
        <is>
          <t>Camera + lens</t>
        </is>
      </c>
      <c r="C11" s="23" t="n">
        <v>1</v>
      </c>
      <c r="D11" s="24" t="n">
        <v>11100</v>
      </c>
      <c r="E11" s="24">
        <f>C11*D11</f>
        <v/>
      </c>
      <c r="F11" s="25" t="inlineStr">
        <is>
          <t>Arducam IMX477 + 6 mm. Pi-compatible; GSD drives detection.</t>
        </is>
      </c>
    </row>
    <row r="12" ht="26" customHeight="1">
      <c r="A12" s="26" t="inlineStr">
        <is>
          <t>hobby</t>
        </is>
      </c>
      <c r="B12" s="27" t="inlineStr">
        <is>
          <t>Pack, BMS, PDB, BEC</t>
        </is>
      </c>
      <c r="C12" s="28" t="n">
        <v>1</v>
      </c>
      <c r="D12" s="29" t="n">
        <v>8500</v>
      </c>
      <c r="E12" s="29">
        <f>C12*D12</f>
        <v/>
      </c>
      <c r="F12" s="10" t="inlineStr"/>
    </row>
    <row r="13" ht="26" customHeight="1">
      <c r="A13" s="26" t="inlineStr">
        <is>
          <t>hobby</t>
        </is>
      </c>
      <c r="B13" s="27" t="inlineStr">
        <is>
          <t>RC rx, storage, cooling, mounts</t>
        </is>
      </c>
      <c r="C13" s="28" t="n">
        <v>1</v>
      </c>
      <c r="D13" s="29" t="n">
        <v>8500</v>
      </c>
      <c r="E13" s="29">
        <f>C13*D13</f>
        <v/>
      </c>
      <c r="F13" s="10" t="inlineStr"/>
    </row>
    <row r="14" ht="26" customHeight="1">
      <c r="A14" s="26" t="inlineStr">
        <is>
          <t>hobby</t>
        </is>
      </c>
      <c r="B14" s="27" t="inlineStr">
        <is>
          <t>ESCs</t>
        </is>
      </c>
      <c r="C14" s="28" t="n">
        <v>4</v>
      </c>
      <c r="D14" s="29" t="n">
        <v>1800</v>
      </c>
      <c r="E14" s="29">
        <f>C14*D14</f>
        <v/>
      </c>
      <c r="F14" s="10" t="inlineStr">
        <is>
          <t>Generic 60 A. Rating is easy to verify.</t>
        </is>
      </c>
    </row>
    <row r="15" ht="26" customHeight="1">
      <c r="A15" s="26" t="inlineStr">
        <is>
          <t>hobby</t>
        </is>
      </c>
      <c r="B15" s="27" t="inlineStr">
        <is>
          <t>Mesh node + antennas</t>
        </is>
      </c>
      <c r="C15" s="28" t="n">
        <v>1</v>
      </c>
      <c r="D15" s="29" t="n">
        <v>6000</v>
      </c>
      <c r="E15" s="29">
        <f>C15*D15</f>
        <v/>
      </c>
      <c r="F15" s="10" t="inlineStr">
        <is>
          <t>Rule 8.14: three concurrent feeds.</t>
        </is>
      </c>
    </row>
    <row r="16" ht="26" customHeight="1">
      <c r="A16" s="26" t="inlineStr">
        <is>
          <t>hobby</t>
        </is>
      </c>
      <c r="B16" s="27" t="inlineStr">
        <is>
          <t>Payload system</t>
        </is>
      </c>
      <c r="C16" s="28" t="n">
        <v>1</v>
      </c>
      <c r="D16" s="29" t="n">
        <v>4500</v>
      </c>
      <c r="E16" s="29">
        <f>C16*D16</f>
        <v/>
      </c>
      <c r="F16" s="10" t="inlineStr">
        <is>
          <t>Metal detents retained -- a brownout must not drop a kit.</t>
        </is>
      </c>
    </row>
    <row r="17" ht="26" customHeight="1">
      <c r="A17" s="26" t="inlineStr">
        <is>
          <t>hobby</t>
        </is>
      </c>
      <c r="B17" s="27" t="inlineStr">
        <is>
          <t>Propellers</t>
        </is>
      </c>
      <c r="C17" s="28" t="n">
        <v>4</v>
      </c>
      <c r="D17" s="29" t="n">
        <v>1000</v>
      </c>
      <c r="E17" s="29">
        <f>C17*D17</f>
        <v/>
      </c>
      <c r="F17" s="10" t="inlineStr">
        <is>
          <t>Generic 18 in CF. Balance every one.</t>
        </is>
      </c>
    </row>
    <row r="18" ht="26" customHeight="1">
      <c r="A18" s="26" t="inlineStr">
        <is>
          <t>hobby</t>
        </is>
      </c>
      <c r="B18" s="27" t="inlineStr">
        <is>
          <t>Wiring, connectors</t>
        </is>
      </c>
      <c r="C18" s="28" t="n">
        <v>1</v>
      </c>
      <c r="D18" s="29" t="n">
        <v>2400</v>
      </c>
      <c r="E18" s="29">
        <f>C18*D18</f>
        <v/>
      </c>
      <c r="F18" s="10" t="inlineStr"/>
    </row>
    <row r="19" ht="26" customHeight="1">
      <c r="A19" s="26" t="inlineStr">
        <is>
          <t>hobby</t>
        </is>
      </c>
      <c r="B19" s="27" t="inlineStr">
        <is>
          <t>Prop adapters</t>
        </is>
      </c>
      <c r="C19" s="28" t="n">
        <v>4</v>
      </c>
      <c r="D19" s="29" t="n">
        <v>350</v>
      </c>
      <c r="E19" s="29">
        <f>C19*D19</f>
        <v/>
      </c>
      <c r="F19" s="10" t="inlineStr"/>
    </row>
    <row r="20">
      <c r="A20" s="30" t="n"/>
      <c r="B20" s="31" t="inlineStr">
        <is>
          <t>TOTAL PER AIRCRAFT</t>
        </is>
      </c>
      <c r="C20" s="30" t="n"/>
      <c r="D20" s="30" t="n"/>
      <c r="E20" s="32">
        <f>SUM(E5:E19)</f>
        <v/>
      </c>
      <c r="F20" s="30" t="n"/>
    </row>
    <row r="21">
      <c r="A21" s="30" t="n"/>
      <c r="B21" s="31" t="inlineStr">
        <is>
          <t>x3 FLEET</t>
        </is>
      </c>
      <c r="C21" s="30" t="n"/>
      <c r="D21" s="30" t="n"/>
      <c r="E21" s="32">
        <f>E20*3</f>
        <v/>
      </c>
      <c r="F21" s="30" t="n"/>
    </row>
  </sheetData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1" customWidth="1" min="3" max="3"/>
    <col width="11" customWidth="1" min="4" max="4"/>
    <col width="11" customWidth="1" min="5" max="5"/>
    <col width="70" customWidth="1" min="6" max="6"/>
  </cols>
  <sheetData>
    <row r="1">
      <c r="A1" s="1" t="inlineStr">
        <is>
          <t>Programme budget - what changed and why</t>
        </is>
      </c>
    </row>
    <row r="2">
      <c r="A2" s="2" t="inlineStr">
        <is>
          <t>'Original' is the development-programme costing of 28.74 L. 'Ask' is the competition build. Rules R1-R5 are stated in competition_budget.py.</t>
        </is>
      </c>
    </row>
    <row r="4" ht="28" customHeight="1">
      <c r="A4" s="20" t="inlineStr">
        <is>
          <t>Group</t>
        </is>
      </c>
      <c r="B4" s="20" t="inlineStr">
        <is>
          <t>Line</t>
        </is>
      </c>
      <c r="C4" s="20" t="inlineStr">
        <is>
          <t>Original</t>
        </is>
      </c>
      <c r="D4" s="20" t="inlineStr">
        <is>
          <t>Ask</t>
        </is>
      </c>
      <c r="E4" s="20" t="inlineStr">
        <is>
          <t>Delta</t>
        </is>
      </c>
      <c r="F4" s="20" t="inlineStr">
        <is>
          <t>Reason</t>
        </is>
      </c>
    </row>
    <row r="5">
      <c r="A5" s="33" t="inlineStr">
        <is>
          <t>Air vehicle and payload</t>
        </is>
      </c>
      <c r="B5" s="34" t="n"/>
      <c r="C5" s="34" t="n"/>
      <c r="D5" s="34" t="n"/>
      <c r="E5" s="34" t="n"/>
      <c r="F5" s="34" t="n"/>
    </row>
    <row r="6" ht="26" customHeight="1">
      <c r="A6" s="9" t="n"/>
      <c r="B6" s="27" t="inlineStr">
        <is>
          <t>Air vehicles, 3 x 157,800</t>
        </is>
      </c>
      <c r="C6" s="29" t="n">
        <v>790203</v>
      </c>
      <c r="D6" s="29" t="n">
        <v>473400</v>
      </c>
      <c r="E6" s="35" t="n">
        <v>-316803</v>
      </c>
      <c r="F6" s="10" t="inlineStr">
        <is>
          <t>R4. Hobby-grade propulsion and ancillaries; autopilot, RTK, accelerator, camera and cells held professional.</t>
        </is>
      </c>
    </row>
    <row r="7" ht="26" customHeight="1">
      <c r="A7" s="9" t="n"/>
      <c r="B7" s="27" t="inlineStr">
        <is>
          <t>Relief kits (14)</t>
        </is>
      </c>
      <c r="C7" s="29" t="n">
        <v>5600</v>
      </c>
      <c r="D7" s="29" t="n">
        <v>5600</v>
      </c>
      <c r="E7" s="35" t="n">
        <v>0</v>
      </c>
      <c r="F7" s="10" t="inlineStr">
        <is>
          <t>Rule C6 fixes the kit at 200 g.</t>
        </is>
      </c>
    </row>
    <row r="8" ht="26" customHeight="1">
      <c r="A8" s="9" t="n"/>
      <c r="B8" s="27" t="inlineStr">
        <is>
          <t>Ground-truth apparatus</t>
        </is>
      </c>
      <c r="C8" s="29" t="n">
        <v>35280</v>
      </c>
      <c r="D8" s="29" t="n">
        <v>4860</v>
      </c>
      <c r="E8" s="35" t="n">
        <v>-30420</v>
      </c>
      <c r="F8" s="10" t="inlineStr">
        <is>
          <t>R5. Mannequins, mats, markers, clothing and dummy kits all fabricated. Dummy kits and clothing are BETTER made than bought -- exact 200 g mass, and wider colour variety than matched sets.</t>
        </is>
      </c>
    </row>
    <row r="9" ht="26" customHeight="1">
      <c r="A9" s="36" t="n"/>
      <c r="B9" s="37" t="inlineStr">
        <is>
          <t>Recovery parachutes, 3</t>
        </is>
      </c>
      <c r="C9" s="38" t="n">
        <v>0</v>
      </c>
      <c r="D9" s="38" t="n">
        <v>0</v>
      </c>
      <c r="E9" s="39" t="n">
        <v>0</v>
      </c>
      <c r="F9" s="40" t="inlineStr">
        <is>
          <t>DEFERRED. PERMITTED, not required (rulebook-compliance 6.2). A crash is -50 against -10 for landing outside the zone: a ~40-point bet.</t>
        </is>
      </c>
    </row>
    <row r="10">
      <c r="A10" s="33" t="inlineStr">
        <is>
          <t>Ground segment</t>
        </is>
      </c>
      <c r="B10" s="34" t="n"/>
      <c r="C10" s="34" t="n"/>
      <c r="D10" s="34" t="n"/>
      <c r="E10" s="34" t="n"/>
      <c r="F10" s="34" t="n"/>
    </row>
    <row r="11" ht="26" customHeight="1">
      <c r="A11" s="41" t="n"/>
      <c r="B11" s="22" t="inlineStr">
        <is>
          <t>GCS laptop</t>
        </is>
      </c>
      <c r="C11" s="24" t="n">
        <v>85000</v>
      </c>
      <c r="D11" s="24" t="n">
        <v>0</v>
      </c>
      <c r="E11" s="42" t="n">
        <v>-85000</v>
      </c>
      <c r="F11" s="25" t="inlineStr">
        <is>
          <t>R1: team-supplied.</t>
        </is>
      </c>
    </row>
    <row r="12" ht="26" customHeight="1">
      <c r="A12" s="41" t="n"/>
      <c r="B12" s="22" t="inlineStr">
        <is>
          <t>Backup GCS laptop</t>
        </is>
      </c>
      <c r="C12" s="24" t="n">
        <v>55000</v>
      </c>
      <c r="D12" s="24" t="n">
        <v>0</v>
      </c>
      <c r="E12" s="42" t="n">
        <v>-55000</v>
      </c>
      <c r="F12" s="25" t="inlineStr">
        <is>
          <t>R1: team-supplied.</t>
        </is>
      </c>
    </row>
    <row r="13" ht="26" customHeight="1">
      <c r="A13" s="41" t="n"/>
      <c r="B13" s="22" t="inlineStr">
        <is>
          <t>Portable power station</t>
        </is>
      </c>
      <c r="C13" s="24" t="n">
        <v>55000</v>
      </c>
      <c r="D13" s="24" t="n">
        <v>0</v>
      </c>
      <c r="E13" s="42" t="n">
        <v>-55000</v>
      </c>
      <c r="F13" s="25" t="inlineStr">
        <is>
          <t>R1: institute field power.</t>
        </is>
      </c>
    </row>
    <row r="14" ht="26" customHeight="1">
      <c r="A14" s="9" t="n"/>
      <c r="B14" s="27" t="inlineStr">
        <is>
          <t>RTK base receiver</t>
        </is>
      </c>
      <c r="C14" s="29" t="n">
        <v>38000</v>
      </c>
      <c r="D14" s="29" t="n">
        <v>18000</v>
      </c>
      <c r="E14" s="35" t="n">
        <v>-20000</v>
      </c>
      <c r="F14" s="10" t="inlineStr">
        <is>
          <t>A second AeroNav-1. A base needs a good antenna and a stable mount, not a different class of receiver.</t>
        </is>
      </c>
    </row>
    <row r="15" ht="26" customHeight="1">
      <c r="A15" s="9" t="n"/>
      <c r="B15" s="27" t="inlineStr">
        <is>
          <t>Survey tripod + tribrach</t>
        </is>
      </c>
      <c r="C15" s="29" t="n">
        <v>9500</v>
      </c>
      <c r="D15" s="29" t="n">
        <v>4000</v>
      </c>
      <c r="E15" s="35" t="n">
        <v>-5500</v>
      </c>
      <c r="F15" s="10" t="inlineStr">
        <is>
          <t>Photographic tripod and adapter.</t>
        </is>
      </c>
    </row>
    <row r="16" ht="26" customHeight="1">
      <c r="A16" s="9" t="n"/>
      <c r="B16" s="27" t="inlineStr">
        <is>
          <t>Equipment cases</t>
        </is>
      </c>
      <c r="C16" s="29" t="n">
        <v>44000</v>
      </c>
      <c r="D16" s="29" t="n">
        <v>9000</v>
      </c>
      <c r="E16" s="35" t="n">
        <v>-35000</v>
      </c>
      <c r="F16" s="10" t="inlineStr">
        <is>
          <t>One aircraft case, two foam-lined crates.</t>
        </is>
      </c>
    </row>
    <row r="17" ht="26" customHeight="1">
      <c r="A17" s="9" t="n"/>
      <c r="B17" s="27" t="inlineStr">
        <is>
          <t>Fire extinguisher, sand, charging bags</t>
        </is>
      </c>
      <c r="C17" s="29" t="n">
        <v>11000</v>
      </c>
      <c r="D17" s="29" t="n">
        <v>4000</v>
      </c>
      <c r="E17" s="35" t="n">
        <v>-7000</v>
      </c>
      <c r="F17" s="10" t="inlineStr">
        <is>
          <t>KEEP THE CAPABILITY, correct the price. 54 Li-ion cells are cycled across this programme; thermal runaway is a real failure mode.</t>
        </is>
      </c>
    </row>
    <row r="18" ht="26" customHeight="1">
      <c r="A18" s="9" t="n"/>
      <c r="B18" s="27" t="inlineStr">
        <is>
          <t>Safety-pilot transmitter</t>
        </is>
      </c>
      <c r="C18" s="29" t="n">
        <v>16000</v>
      </c>
      <c r="D18" s="29" t="n">
        <v>8000</v>
      </c>
      <c r="E18" s="35" t="n">
        <v>-8000</v>
      </c>
      <c r="F18" s="10" t="inlineStr">
        <is>
          <t>ELRS set.</t>
        </is>
      </c>
    </row>
    <row r="19" ht="26" customHeight="1">
      <c r="A19" s="9" t="n"/>
      <c r="B19" s="27" t="inlineStr">
        <is>
          <t>Sun hood + observer monitor</t>
        </is>
      </c>
      <c r="C19" s="29" t="n">
        <v>12000</v>
      </c>
      <c r="D19" s="29" t="n">
        <v>1500</v>
      </c>
      <c r="E19" s="35" t="n">
        <v>-10500</v>
      </c>
      <c r="F19" s="10" t="inlineStr">
        <is>
          <t>R2: hood fabricated.</t>
        </is>
      </c>
    </row>
    <row r="20" ht="26" customHeight="1">
      <c r="A20" s="9" t="n"/>
      <c r="B20" s="27" t="inlineStr">
        <is>
          <t>Remaining ground items</t>
        </is>
      </c>
      <c r="C20" s="29" t="n">
        <v>62800</v>
      </c>
      <c r="D20" s="29" t="n">
        <v>25000</v>
      </c>
      <c r="E20" s="35" t="n">
        <v>-37800</v>
      </c>
      <c r="F20" s="10" t="inlineStr">
        <is>
          <t>Cables, mounts, field consumables. RTCM corrections ride the existing telemetry link, so no separate base-to-rover radio is carried.</t>
        </is>
      </c>
    </row>
    <row r="21">
      <c r="A21" s="33" t="inlineStr">
        <is>
          <t>Test equipment</t>
        </is>
      </c>
      <c r="B21" s="34" t="n"/>
      <c r="C21" s="34" t="n"/>
      <c r="D21" s="34" t="n"/>
      <c r="E21" s="34" t="n"/>
      <c r="F21" s="34" t="n"/>
    </row>
    <row r="22" ht="26" customHeight="1">
      <c r="A22" s="41" t="n"/>
      <c r="B22" s="22" t="inlineStr">
        <is>
          <t>3D printer</t>
        </is>
      </c>
      <c r="C22" s="24" t="n">
        <v>50000</v>
      </c>
      <c r="D22" s="24" t="n">
        <v>0</v>
      </c>
      <c r="E22" s="42" t="n">
        <v>-50000</v>
      </c>
      <c r="F22" s="25" t="inlineStr">
        <is>
          <t>R1: department facility.</t>
        </is>
      </c>
    </row>
    <row r="23" ht="26" customHeight="1">
      <c r="A23" s="9" t="n"/>
      <c r="B23" s="27" t="inlineStr">
        <is>
          <t>Thrust stand</t>
        </is>
      </c>
      <c r="C23" s="29" t="n">
        <v>45000</v>
      </c>
      <c r="D23" s="29" t="n">
        <v>8000</v>
      </c>
      <c r="E23" s="35" t="n">
        <v>-37000</v>
      </c>
      <c r="F23" s="10" t="inlineStr">
        <is>
          <t>R2, and now LOAD-BEARING: with generic motors this is the instrument that says whether the aircraft hovers.</t>
        </is>
      </c>
    </row>
    <row r="24" ht="26" customHeight="1">
      <c r="A24" s="9" t="n"/>
      <c r="B24" s="27" t="inlineStr">
        <is>
          <t>Battery chargers</t>
        </is>
      </c>
      <c r="C24" s="29" t="n">
        <v>28000</v>
      </c>
      <c r="D24" s="29" t="n">
        <v>14000</v>
      </c>
      <c r="E24" s="35" t="n">
        <v>-14000</v>
      </c>
      <c r="F24" s="10" t="inlineStr">
        <is>
          <t>One charger.</t>
        </is>
      </c>
    </row>
    <row r="25" ht="26" customHeight="1">
      <c r="A25" s="36" t="n"/>
      <c r="B25" s="37" t="inlineStr">
        <is>
          <t>Cell tester</t>
        </is>
      </c>
      <c r="C25" s="38" t="n">
        <v>13000</v>
      </c>
      <c r="D25" s="38" t="n">
        <v>0</v>
      </c>
      <c r="E25" s="39" t="n">
        <v>-13000</v>
      </c>
      <c r="F25" s="40" t="inlineStr">
        <is>
          <t>Most 1C chargers measure per-cell IR. CONFIRM before deleting.</t>
        </is>
      </c>
    </row>
    <row r="26" ht="26" customHeight="1">
      <c r="A26" s="41" t="n"/>
      <c r="B26" s="22" t="inlineStr">
        <is>
          <t>Soldering station</t>
        </is>
      </c>
      <c r="C26" s="24" t="n">
        <v>9000</v>
      </c>
      <c r="D26" s="24" t="n">
        <v>0</v>
      </c>
      <c r="E26" s="42" t="n">
        <v>-9000</v>
      </c>
      <c r="F26" s="25" t="inlineStr">
        <is>
          <t>R1: department facility.</t>
        </is>
      </c>
    </row>
    <row r="27" ht="26" customHeight="1">
      <c r="A27" s="41" t="n"/>
      <c r="B27" s="22" t="inlineStr">
        <is>
          <t>Rotary tool + CF extraction</t>
        </is>
      </c>
      <c r="C27" s="24" t="n">
        <v>8500</v>
      </c>
      <c r="D27" s="24" t="n">
        <v>0</v>
      </c>
      <c r="E27" s="42" t="n">
        <v>-8500</v>
      </c>
      <c r="F27" s="25" t="inlineStr">
        <is>
          <t>R1: department facility.</t>
        </is>
      </c>
    </row>
    <row r="28" ht="26" customHeight="1">
      <c r="A28" s="41" t="n"/>
      <c r="B28" s="22" t="inlineStr">
        <is>
          <t>Bench power supply</t>
        </is>
      </c>
      <c r="C28" s="24" t="n">
        <v>8500</v>
      </c>
      <c r="D28" s="24" t="n">
        <v>0</v>
      </c>
      <c r="E28" s="42" t="n">
        <v>-8500</v>
      </c>
      <c r="F28" s="25" t="inlineStr">
        <is>
          <t>R1: department facility.</t>
        </is>
      </c>
    </row>
    <row r="29" ht="26" customHeight="1">
      <c r="A29" s="41" t="n"/>
      <c r="B29" s="22" t="inlineStr">
        <is>
          <t>Multimeters</t>
        </is>
      </c>
      <c r="C29" s="24" t="n">
        <v>8000</v>
      </c>
      <c r="D29" s="24" t="n">
        <v>0</v>
      </c>
      <c r="E29" s="42" t="n">
        <v>-8000</v>
      </c>
      <c r="F29" s="25" t="inlineStr">
        <is>
          <t>R1: department facility.</t>
        </is>
      </c>
    </row>
    <row r="30" ht="26" customHeight="1">
      <c r="A30" s="9" t="n"/>
      <c r="B30" s="27" t="inlineStr">
        <is>
          <t>Charger PSU</t>
        </is>
      </c>
      <c r="C30" s="29" t="n">
        <v>8000</v>
      </c>
      <c r="D30" s="29" t="n">
        <v>1500</v>
      </c>
      <c r="E30" s="35" t="n">
        <v>-6500</v>
      </c>
      <c r="F30" s="10" t="inlineStr">
        <is>
          <t>Used 12 V server supply.</t>
        </is>
      </c>
    </row>
    <row r="31" ht="26" customHeight="1">
      <c r="A31" s="9" t="n"/>
      <c r="B31" s="27" t="inlineStr">
        <is>
          <t>Calibrated scale + remaining</t>
        </is>
      </c>
      <c r="C31" s="29" t="n">
        <v>47700</v>
      </c>
      <c r="D31" s="29" t="n">
        <v>12000</v>
      </c>
      <c r="E31" s="35" t="n">
        <v>-35700</v>
      </c>
      <c r="F31" s="10" t="inlineStr">
        <is>
          <t>KEEP the calibrated scale -- it decides the rule C2 weigh-in.</t>
        </is>
      </c>
    </row>
    <row r="32">
      <c r="A32" s="33" t="inlineStr">
        <is>
          <t>Spares and consumables</t>
        </is>
      </c>
      <c r="B32" s="34" t="n"/>
      <c r="C32" s="34" t="n"/>
      <c r="D32" s="34" t="n"/>
      <c r="E32" s="34" t="n"/>
      <c r="F32" s="34" t="n"/>
    </row>
    <row r="33" ht="26" customHeight="1">
      <c r="A33" s="9" t="n"/>
      <c r="B33" s="27" t="inlineStr">
        <is>
          <t>Spare airframe structure set</t>
        </is>
      </c>
      <c r="C33" s="29" t="n">
        <v>25000</v>
      </c>
      <c r="D33" s="29" t="n">
        <v>25000</v>
      </c>
      <c r="E33" s="35" t="n">
        <v>0</v>
      </c>
      <c r="F33" s="10" t="inlineStr">
        <is>
          <t>KEEP. What a crash consumes.</t>
        </is>
      </c>
    </row>
    <row r="34" ht="26" customHeight="1">
      <c r="A34" s="9" t="n"/>
      <c r="B34" s="27" t="inlineStr">
        <is>
          <t>Spare propellers, plate and tube stock</t>
        </is>
      </c>
      <c r="C34" s="29" t="n">
        <v>26200</v>
      </c>
      <c r="D34" s="29" t="n">
        <v>21400</v>
      </c>
      <c r="E34" s="35" t="n">
        <v>-4800</v>
      </c>
      <c r="F34" s="10" t="inlineStr">
        <is>
          <t>KEEP. Consumables.</t>
        </is>
      </c>
    </row>
    <row r="35" ht="26" customHeight="1">
      <c r="A35" s="9" t="n"/>
      <c r="B35" s="27" t="inlineStr">
        <is>
          <t>Fasteners, tape, connectors, filament</t>
        </is>
      </c>
      <c r="C35" s="29" t="n">
        <v>37800</v>
      </c>
      <c r="D35" s="29" t="n">
        <v>13000</v>
      </c>
      <c r="E35" s="35" t="n">
        <v>-24800</v>
      </c>
      <c r="F35" s="10" t="inlineStr">
        <is>
          <t>KEEP.</t>
        </is>
      </c>
    </row>
    <row r="36" ht="26" customHeight="1">
      <c r="A36" s="36" t="n"/>
      <c r="B36" s="37" t="inlineStr">
        <is>
          <t>Spare battery packs</t>
        </is>
      </c>
      <c r="C36" s="38" t="n">
        <v>57000</v>
      </c>
      <c r="D36" s="38" t="n">
        <v>0</v>
      </c>
      <c r="E36" s="39" t="n">
        <v>-57000</v>
      </c>
      <c r="F36" s="40" t="inlineStr">
        <is>
          <t>DEFERRED.</t>
        </is>
      </c>
    </row>
    <row r="37" ht="26" customHeight="1">
      <c r="A37" s="36" t="n"/>
      <c r="B37" s="37" t="inlineStr">
        <is>
          <t>Spare motors</t>
        </is>
      </c>
      <c r="C37" s="38" t="n">
        <v>28000</v>
      </c>
      <c r="D37" s="38" t="n">
        <v>0</v>
      </c>
      <c r="E37" s="39" t="n">
        <v>-28000</v>
      </c>
      <c r="F37" s="40" t="inlineStr">
        <is>
          <t>DEFERRED. 2-3 week domestic lead time is the mitigation.</t>
        </is>
      </c>
    </row>
    <row r="38" ht="26" customHeight="1">
      <c r="A38" s="36" t="n"/>
      <c r="B38" s="37" t="inlineStr">
        <is>
          <t>Spare compute module</t>
        </is>
      </c>
      <c r="C38" s="38" t="n">
        <v>38000</v>
      </c>
      <c r="D38" s="38" t="n">
        <v>0</v>
      </c>
      <c r="E38" s="39" t="n">
        <v>-38000</v>
      </c>
      <c r="F38" s="40" t="inlineStr">
        <is>
          <t>DEFERRED. Accepted risk.</t>
        </is>
      </c>
    </row>
    <row r="39" ht="26" customHeight="1">
      <c r="A39" s="36" t="n"/>
      <c r="B39" s="37" t="inlineStr">
        <is>
          <t>Spare flight controller</t>
        </is>
      </c>
      <c r="C39" s="38" t="n">
        <v>26000</v>
      </c>
      <c r="D39" s="38" t="n">
        <v>0</v>
      </c>
      <c r="E39" s="39" t="n">
        <v>-26000</v>
      </c>
      <c r="F39" s="40" t="inlineStr">
        <is>
          <t>DEFERRED. Accepted risk.</t>
        </is>
      </c>
    </row>
    <row r="40" ht="26" customHeight="1">
      <c r="A40" s="36" t="n"/>
      <c r="B40" s="37" t="inlineStr">
        <is>
          <t>Spare GNSS</t>
        </is>
      </c>
      <c r="C40" s="38" t="n">
        <v>18000</v>
      </c>
      <c r="D40" s="38" t="n">
        <v>0</v>
      </c>
      <c r="E40" s="39" t="n">
        <v>-18000</v>
      </c>
      <c r="F40" s="40" t="inlineStr">
        <is>
          <t>DEFERRED. Accepted risk.</t>
        </is>
      </c>
    </row>
    <row r="41" ht="26" customHeight="1">
      <c r="A41" s="36" t="n"/>
      <c r="B41" s="37" t="inlineStr">
        <is>
          <t>Spare camera + lens</t>
        </is>
      </c>
      <c r="C41" s="38" t="n">
        <v>16600</v>
      </c>
      <c r="D41" s="38" t="n">
        <v>0</v>
      </c>
      <c r="E41" s="39" t="n">
        <v>-16600</v>
      </c>
      <c r="F41" s="40" t="inlineStr">
        <is>
          <t>DEFERRED. Accepted risk.</t>
        </is>
      </c>
    </row>
    <row r="42">
      <c r="A42" s="33" t="inlineStr">
        <is>
          <t>Software, data and regulatory</t>
        </is>
      </c>
      <c r="B42" s="34" t="n"/>
      <c r="C42" s="34" t="n"/>
      <c r="D42" s="34" t="n"/>
      <c r="E42" s="34" t="n"/>
      <c r="F42" s="34" t="n"/>
    </row>
    <row r="43" ht="26" customHeight="1">
      <c r="A43" s="41" t="n"/>
      <c r="B43" s="22" t="inlineStr">
        <is>
          <t>Training compute</t>
        </is>
      </c>
      <c r="C43" s="24" t="n">
        <v>75000</v>
      </c>
      <c r="D43" s="24" t="n">
        <v>0</v>
      </c>
      <c r="E43" s="42" t="n">
        <v>-75000</v>
      </c>
      <c r="F43" s="25" t="inlineStr">
        <is>
          <t>R1: institute GPUs.</t>
        </is>
      </c>
    </row>
    <row r="44" ht="26" customHeight="1">
      <c r="A44" s="36" t="n"/>
      <c r="B44" s="37" t="inlineStr">
        <is>
          <t>Indian SAR field dataset</t>
        </is>
      </c>
      <c r="C44" s="38" t="n">
        <v>60000</v>
      </c>
      <c r="D44" s="38" t="n">
        <v>0</v>
      </c>
      <c r="E44" s="39" t="n">
        <v>-60000</v>
      </c>
      <c r="F44" s="40" t="inlineStr">
        <is>
          <t>DEFERRED. Detection recall stays MODELLED.</t>
        </is>
      </c>
    </row>
    <row r="45" ht="26" customHeight="1">
      <c r="A45" s="36" t="n"/>
      <c r="B45" s="37" t="inlineStr">
        <is>
          <t>Insurance</t>
        </is>
      </c>
      <c r="C45" s="38" t="n">
        <v>25000</v>
      </c>
      <c r="D45" s="38" t="n">
        <v>0</v>
      </c>
      <c r="E45" s="39" t="n">
        <v>-25000</v>
      </c>
      <c r="F45" s="40" t="inlineStr">
        <is>
          <t>DEFERRED AT TEAM DIRECTION. MUST BE CONFIRMED against the rulebook and DGCA rules before any flight.</t>
        </is>
      </c>
    </row>
    <row r="46" ht="26" customHeight="1">
      <c r="A46" s="36" t="n"/>
      <c r="B46" s="37" t="inlineStr">
        <is>
          <t>WPC / ETA licensing</t>
        </is>
      </c>
      <c r="C46" s="38" t="n">
        <v>10000</v>
      </c>
      <c r="D46" s="38" t="n">
        <v>0</v>
      </c>
      <c r="E46" s="39" t="n">
        <v>-10000</v>
      </c>
      <c r="F46" s="40" t="inlineStr">
        <is>
          <t>REMOVED. Every link is delicensed: 2.4/5.8 GHz ISM and 865-867 MHz SRD. Type approval is a supplier obligation.</t>
        </is>
      </c>
    </row>
    <row r="47" ht="26" customHeight="1">
      <c r="A47" s="9" t="n"/>
      <c r="B47" s="27" t="inlineStr">
        <is>
          <t>DGCA registration</t>
        </is>
      </c>
      <c r="C47" s="29" t="n">
        <v>5000</v>
      </c>
      <c r="D47" s="29" t="n">
        <v>5000</v>
      </c>
      <c r="E47" s="35" t="n">
        <v>0</v>
      </c>
      <c r="F47" s="10" t="inlineStr">
        <is>
          <t>KEEP. At 6.36 kg these are Small category (2-25 kg) under the Drone Rules 2021 -- only Nano is broadly exempt. UIN registration is required.</t>
        </is>
      </c>
    </row>
    <row r="48">
      <c r="A48" s="30" t="n"/>
      <c r="B48" s="31" t="inlineStr">
        <is>
          <t>SUBTOTAL</t>
        </is>
      </c>
      <c r="C48" s="30" t="n"/>
      <c r="D48" s="32" t="n">
        <v>653260</v>
      </c>
      <c r="E48" s="30" t="n"/>
      <c r="F48" s="30" t="n"/>
    </row>
    <row r="49">
      <c r="A49" s="30" t="n"/>
      <c r="B49" s="31" t="inlineStr">
        <is>
          <t>Duty and freight</t>
        </is>
      </c>
      <c r="C49" s="30" t="n"/>
      <c r="D49" s="32" t="n">
        <v>25863</v>
      </c>
      <c r="E49" s="30" t="n"/>
      <c r="F49" s="30" t="n"/>
    </row>
    <row r="50">
      <c r="A50" s="30" t="n"/>
      <c r="B50" s="31" t="inlineStr">
        <is>
          <t>GST</t>
        </is>
      </c>
      <c r="C50" s="30" t="n"/>
      <c r="D50" s="32" t="n">
        <v>37462</v>
      </c>
      <c r="E50" s="30" t="n"/>
      <c r="F50" s="30" t="n"/>
    </row>
    <row r="51">
      <c r="A51" s="30" t="n"/>
      <c r="B51" s="31" t="inlineStr">
        <is>
          <t>Contingency</t>
        </is>
      </c>
      <c r="C51" s="30" t="n"/>
      <c r="D51" s="32" t="n">
        <v>107488</v>
      </c>
      <c r="E51" s="30" t="n"/>
      <c r="F51" s="30" t="n"/>
    </row>
    <row r="52">
      <c r="A52" s="30" t="n"/>
      <c r="B52" s="31" t="inlineStr">
        <is>
          <t>TOTAL ASK</t>
        </is>
      </c>
      <c r="C52" s="30" t="n"/>
      <c r="D52" s="32" t="n">
        <v>824072</v>
      </c>
      <c r="E52" s="30" t="n"/>
      <c r="F52" s="30" t="n"/>
    </row>
  </sheetData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1" customWidth="1" min="3" max="3"/>
    <col width="62" customWidth="1" min="4" max="4"/>
  </cols>
  <sheetData>
    <row r="1">
      <c r="A1" s="1" t="inlineStr">
        <is>
          <t>Deferred, in reinstatement priority</t>
        </is>
      </c>
    </row>
    <row r="2">
      <c r="A2" s="2" t="inlineStr">
        <is>
          <t>Removed to reach the ask, not judged unnecessary. A reviewer should be able to see what the lowest-cost configuration gives up.</t>
        </is>
      </c>
    </row>
    <row r="4" ht="28" customHeight="1">
      <c r="A4" s="20" t="inlineStr">
        <is>
          <t>#</t>
        </is>
      </c>
      <c r="B4" s="20" t="inlineStr">
        <is>
          <t>Item</t>
        </is>
      </c>
      <c r="C4" s="20" t="inlineStr">
        <is>
          <t>INR</t>
        </is>
      </c>
      <c r="D4" s="20" t="inlineStr">
        <is>
          <t>What it buys back</t>
        </is>
      </c>
    </row>
    <row r="5" ht="26" customHeight="1">
      <c r="A5" s="43" t="n">
        <v>1</v>
      </c>
      <c r="B5" s="44" t="inlineStr">
        <is>
          <t>Flight insurance</t>
        </is>
      </c>
      <c r="C5" s="45" t="n">
        <v>25000</v>
      </c>
      <c r="D5" s="14" t="inlineStr">
        <is>
          <t>MUST BE CONFIRMED against the rulebook and DGCA rules before any flight</t>
        </is>
      </c>
    </row>
    <row r="6" ht="26" customHeight="1">
      <c r="A6" s="43" t="n">
        <v>2</v>
      </c>
      <c r="B6" s="44" t="inlineStr">
        <is>
          <t>Second GNSS receiver (3)</t>
        </is>
      </c>
      <c r="C6" s="45" t="n">
        <v>51000</v>
      </c>
      <c r="D6" s="14" t="inlineStr">
        <is>
          <t>Conditional on a P6 magnetometer measurement, not on funding</t>
        </is>
      </c>
    </row>
    <row r="7" ht="26" customHeight="1">
      <c r="A7" s="28" t="n">
        <v>3</v>
      </c>
      <c r="B7" s="27" t="inlineStr">
        <is>
          <t>Recovery parachutes (3)</t>
        </is>
      </c>
      <c r="C7" s="29" t="n">
        <v>36000</v>
      </c>
      <c r="D7" s="10" t="inlineStr">
        <is>
          <t>Permitted, not required. ~40-point bet per crash avoided</t>
        </is>
      </c>
    </row>
    <row r="8" ht="26" customHeight="1">
      <c r="A8" s="28" t="n">
        <v>4</v>
      </c>
      <c r="B8" s="27" t="inlineStr">
        <is>
          <t>Training airframe</t>
        </is>
      </c>
      <c r="C8" s="29" t="n">
        <v>37309</v>
      </c>
      <c r="D8" s="10" t="inlineStr">
        <is>
          <t>Would fly from week 1 and protect the fleet</t>
        </is>
      </c>
    </row>
    <row r="9" ht="26" customHeight="1">
      <c r="A9" s="28" t="n">
        <v>5</v>
      </c>
      <c r="B9" s="27" t="inlineStr">
        <is>
          <t>Sub-GHz safety radio (3)</t>
        </is>
      </c>
      <c r="C9" s="29" t="n">
        <v>58065</v>
      </c>
      <c r="D9" s="10" t="inlineStr">
        <is>
          <t>A third independent link; two delicensed bands already carried</t>
        </is>
      </c>
    </row>
    <row r="10" ht="26" customHeight="1">
      <c r="A10" s="28" t="n">
        <v>6</v>
      </c>
      <c r="B10" s="27" t="inlineStr">
        <is>
          <t>Spare packs and motors</t>
        </is>
      </c>
      <c r="C10" s="29" t="n">
        <v>74396</v>
      </c>
      <c r="D10" s="10" t="inlineStr">
        <is>
          <t>Survives a crash mid-campaign</t>
        </is>
      </c>
    </row>
    <row r="11" ht="26" customHeight="1">
      <c r="A11" s="28" t="n">
        <v>7</v>
      </c>
      <c r="B11" s="27" t="inlineStr">
        <is>
          <t>Field data campaign</t>
        </is>
      </c>
      <c r="C11" s="29" t="n">
        <v>15000</v>
      </c>
      <c r="D11" s="10" t="inlineStr">
        <is>
          <t>Detection recall measured rather than modelled</t>
        </is>
      </c>
    </row>
    <row r="12" ht="26" customHeight="1">
      <c r="A12" s="28" t="n">
        <v>8</v>
      </c>
      <c r="B12" s="27" t="inlineStr">
        <is>
          <t>Spare compute module</t>
        </is>
      </c>
      <c r="C12" s="29" t="n">
        <v>20000</v>
      </c>
      <c r="D12" s="10" t="inlineStr">
        <is>
          <t>Removes a single point of failure</t>
        </is>
      </c>
    </row>
    <row r="13">
      <c r="A13" s="30" t="n"/>
      <c r="B13" s="31" t="inlineStr">
        <is>
          <t>TOTAL DEFERRED</t>
        </is>
      </c>
      <c r="C13" s="32" t="n">
        <v>316770</v>
      </c>
      <c r="D13" s="30" t="n"/>
    </row>
  </sheetData>
  <pageMargins left="0.4" right="0.4" top="0.5" bottom="0.5" header="0.5" footer="0.5"/>
  <pageSetup orientation="portrait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26" customWidth="1" min="3" max="3"/>
    <col width="54" customWidth="1" min="4" max="4"/>
    <col width="10" customWidth="1" min="5" max="5"/>
  </cols>
  <sheetData>
    <row r="1">
      <c r="A1" s="1" t="inlineStr">
        <is>
          <t>Evidence - where the prices come from</t>
        </is>
      </c>
    </row>
    <row r="2">
      <c r="A2" s="2" t="inlineStr">
        <is>
          <t>Single-unit Indian retail, read on or before the revision date. Prices move. NOTE: these are tax-paid retail listings, which is why the duty and GST treatment on tab 02 is flagged as probably double-counted.</t>
        </is>
      </c>
    </row>
    <row r="4" ht="28" customHeight="1">
      <c r="A4" s="20" t="inlineStr">
        <is>
          <t>Line</t>
        </is>
      </c>
      <c r="B4" s="20" t="inlineStr">
        <is>
          <t>Part</t>
        </is>
      </c>
      <c r="C4" s="20" t="inlineStr">
        <is>
          <t>Supplier</t>
        </is>
      </c>
      <c r="D4" s="20" t="inlineStr">
        <is>
          <t>Source</t>
        </is>
      </c>
      <c r="E4" s="20" t="inlineStr">
        <is>
          <t>INR</t>
        </is>
      </c>
    </row>
    <row r="5" ht="26" customHeight="1">
      <c r="A5" s="46" t="inlineStr">
        <is>
          <t>Flight controller</t>
        </is>
      </c>
      <c r="B5" s="10" t="inlineStr">
        <is>
          <t>Holybro Pixhawk 6C Mini</t>
        </is>
      </c>
      <c r="C5" s="10" t="inlineStr">
        <is>
          <t>Indian Robo Store</t>
        </is>
      </c>
      <c r="D5" s="47" t="inlineStr">
        <is>
          <t>https://www.indiamart.com/proddetail/pixhawk-6c-mini-flight-controller-2852778303248.html</t>
        </is>
      </c>
      <c r="E5" s="48" t="n">
        <v>22600</v>
      </c>
    </row>
    <row r="6" ht="26" customHeight="1">
      <c r="A6" s="49" t="inlineStr">
        <is>
          <t>Flight controller (deferred)</t>
        </is>
      </c>
      <c r="B6" s="40" t="inlineStr">
        <is>
          <t>Agam Autopilot V6X-RT Full Set</t>
        </is>
      </c>
      <c r="C6" s="40" t="inlineStr">
        <is>
          <t>Agam Robotics</t>
        </is>
      </c>
      <c r="D6" s="50" t="inlineStr">
        <is>
          <t>https://www.agamrobotics.com/product-page/agam-pixhawk-6x-full-set</t>
        </is>
      </c>
      <c r="E6" s="51" t="n">
        <v>42000</v>
      </c>
    </row>
    <row r="7" ht="26" customHeight="1">
      <c r="A7" s="49" t="inlineStr">
        <is>
          <t>Motor (deferred)</t>
        </is>
      </c>
      <c r="B7" s="40" t="inlineStr">
        <is>
          <t>Reflex Drive RD MI-5008 KV340</t>
        </is>
      </c>
      <c r="C7" s="40" t="inlineStr">
        <is>
          <t>Reflex Drive, Lucknow</t>
        </is>
      </c>
      <c r="D7" s="50" t="inlineStr">
        <is>
          <t>https://reflexdrive.in/product/rd-mi-5008-motor/</t>
        </is>
      </c>
      <c r="E7" s="51" t="n">
        <v>9099</v>
      </c>
    </row>
    <row r="8" ht="26" customHeight="1">
      <c r="A8" s="49" t="inlineStr">
        <is>
          <t>ESC (deferred)</t>
        </is>
      </c>
      <c r="B8" s="40" t="inlineStr">
        <is>
          <t>Reflex Drive RD A-Series FOC 60 A</t>
        </is>
      </c>
      <c r="C8" s="40" t="inlineStr">
        <is>
          <t>Reflex Drive</t>
        </is>
      </c>
      <c r="D8" s="50" t="inlineStr">
        <is>
          <t>https://reflexdrive.in/product/rd-a-series-foc-esc-60a/</t>
        </is>
      </c>
      <c r="E8" s="51" t="n">
        <v>3400</v>
      </c>
    </row>
    <row r="9" ht="26" customHeight="1">
      <c r="A9" s="46" t="inlineStr">
        <is>
          <t>Li-ion cell</t>
        </is>
      </c>
      <c r="B9" s="10" t="inlineStr">
        <is>
          <t>GODI 21700 NMC, BIS-certified</t>
        </is>
      </c>
      <c r="C9" s="10" t="inlineStr">
        <is>
          <t>GODI India</t>
        </is>
      </c>
      <c r="D9" s="47" t="inlineStr">
        <is>
          <t>https://evreporter.com/godi-receives-bis-certification-to-sell-li-ion-cells-in-india/</t>
        </is>
      </c>
      <c r="E9" s="48" t="n">
        <v>700</v>
      </c>
    </row>
    <row r="10" ht="26" customHeight="1">
      <c r="A10" s="46" t="inlineStr">
        <is>
          <t>Camera</t>
        </is>
      </c>
      <c r="B10" s="10" t="inlineStr">
        <is>
          <t>Arducam 12MP IMX477</t>
        </is>
      </c>
      <c r="C10" s="10" t="inlineStr">
        <is>
          <t>Robu.in</t>
        </is>
      </c>
      <c r="D10" s="47" t="inlineStr">
        <is>
          <t>https://robu.in/product/arducam-12mp-imx477-motorized-focus-high-quality-camera-for-raspberry-pi/</t>
        </is>
      </c>
      <c r="E10" s="48" t="n">
        <v>9600</v>
      </c>
    </row>
    <row r="11" ht="26" customHeight="1">
      <c r="A11" s="46" t="inlineStr">
        <is>
          <t>GNSS RTK</t>
        </is>
      </c>
      <c r="B11" s="10" t="inlineStr">
        <is>
          <t>Teravolt AeroNav-1, NavIC L1+L5</t>
        </is>
      </c>
      <c r="C11" s="10" t="inlineStr">
        <is>
          <t>Teravolt Labs</t>
        </is>
      </c>
      <c r="D11" s="47" t="inlineStr">
        <is>
          <t>https://www.teravolt.in/product-page/aeronav-1-dual-band-gnss</t>
        </is>
      </c>
      <c r="E11" s="48" t="n">
        <v>18000</v>
      </c>
    </row>
    <row r="12" ht="26" customHeight="1">
      <c r="A12" s="46" t="inlineStr">
        <is>
          <t>AI accelerator</t>
        </is>
      </c>
      <c r="B12" s="10" t="inlineStr">
        <is>
          <t>Raspberry Pi AI HAT+ 26 TOPS (Hailo-8)</t>
        </is>
      </c>
      <c r="C12" s="10" t="inlineStr">
        <is>
          <t>Robu.in</t>
        </is>
      </c>
      <c r="D12" s="47" t="inlineStr">
        <is>
          <t>https://robu.in/product/raspberry-pi-ai-hat-26-tops/</t>
        </is>
      </c>
      <c r="E12" s="48" t="inlineStr">
        <is>
          <t>confirm</t>
        </is>
      </c>
    </row>
    <row r="13" ht="26" customHeight="1">
      <c r="A13" s="49" t="inlineStr">
        <is>
          <t>Sub-GHz radio (deferred)</t>
        </is>
      </c>
      <c r="B13" s="40" t="inlineStr">
        <is>
          <t>RFDesign RFD 868ux-IND, 865-870 MHz</t>
        </is>
      </c>
      <c r="C13" s="40" t="inlineStr">
        <is>
          <t>XBOOM India</t>
        </is>
      </c>
      <c r="D13" s="50" t="inlineStr">
        <is>
          <t>https://www.xboom.in/shop/drones/drone-components/transmission/rfd-868ux-ind-long-range-modem-bundle/</t>
        </is>
      </c>
      <c r="E13" s="51" t="inlineStr">
        <is>
          <t>confirm</t>
        </is>
      </c>
    </row>
    <row r="14" ht="26" customHeight="1">
      <c r="A14" s="46" t="inlineStr">
        <is>
          <t>Co-processor</t>
        </is>
      </c>
      <c r="B14" s="10" t="inlineStr">
        <is>
          <t>C-DAC ARIES v3.0 (THEJAS32) - NOT an AI part</t>
        </is>
      </c>
      <c r="C14" s="10" t="inlineStr">
        <is>
          <t>C-DAC (MeitY)</t>
        </is>
      </c>
      <c r="D14" s="47" t="inlineStr">
        <is>
          <t>https://vegaprocessors.in/</t>
        </is>
      </c>
      <c r="E14" s="48" t="n">
        <v>0</v>
      </c>
    </row>
  </sheetData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</hyperlinks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2026-08-17T07:11:00Z</dcterms:created>
  <dcterms:modified xmlns:dcterms="http://purl.org/dc/terms/" xmlns:xsi="http://www.w3.org/2001/XMLSchema-instance" xsi:type="dcterms:W3CDTF">2026-08-17T07:11:00Z</dcterms:modified>
</cp:coreProperties>
</file>