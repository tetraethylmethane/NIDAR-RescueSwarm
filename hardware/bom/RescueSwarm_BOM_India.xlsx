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00 Indigenisation Policy" sheetId="1" state="visible" r:id="rId1"/>
    <sheet xmlns:r="http://schemas.openxmlformats.org/officeDocument/2006/relationships" name="01 Air Vehicle BOM" sheetId="2" state="visible" r:id="rId2"/>
    <sheet xmlns:r="http://schemas.openxmlformats.org/officeDocument/2006/relationships" name="02 Payload &amp; Kits" sheetId="3" state="visible" r:id="rId3"/>
    <sheet xmlns:r="http://schemas.openxmlformats.org/officeDocument/2006/relationships" name="03 Ground Segment" sheetId="4" state="visible" r:id="rId4"/>
    <sheet xmlns:r="http://schemas.openxmlformats.org/officeDocument/2006/relationships" name="04 Test &amp; Lab Equipment" sheetId="5" state="visible" r:id="rId5"/>
    <sheet xmlns:r="http://schemas.openxmlformats.org/officeDocument/2006/relationships" name="05 Spares &amp; Consumables" sheetId="6" state="visible" r:id="rId6"/>
    <sheet xmlns:r="http://schemas.openxmlformats.org/officeDocument/2006/relationships" name="06 Software &amp; Data" sheetId="7" state="visible" r:id="rId7"/>
    <sheet xmlns:r="http://schemas.openxmlformats.org/officeDocument/2006/relationships" name="07 Mass Rollup" sheetId="8" state="visible" r:id="rId8"/>
    <sheet xmlns:r="http://schemas.openxmlformats.org/officeDocument/2006/relationships" name="08 Cost Summary" sheetId="9" state="visible" r:id="rId9"/>
    <sheet xmlns:r="http://schemas.openxmlformats.org/officeDocument/2006/relationships" name="09 Indigenisation Scorecard" sheetId="10" state="visible" r:id="rId10"/>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charset val="1"/>
      <family val="2"/>
      <color theme="1"/>
      <sz val="11"/>
    </font>
    <font>
      <name val="Arial"/>
      <charset val="1"/>
      <b val="1"/>
      <sz val="14"/>
    </font>
    <font>
      <name val="Arial"/>
      <charset val="1"/>
      <i val="1"/>
      <color rgb="FF555555"/>
      <sz val="9"/>
    </font>
    <font>
      <name val="Arial"/>
      <charset val="1"/>
      <b val="1"/>
      <sz val="10"/>
    </font>
    <font>
      <name val="Arial"/>
      <charset val="1"/>
      <sz val="10"/>
    </font>
    <font>
      <name val="Arial"/>
      <charset val="1"/>
      <b val="1"/>
      <color rgb="FFFFFFFF"/>
      <sz val="10"/>
    </font>
    <font>
      <name val="Arial"/>
      <charset val="1"/>
      <color rgb="FF0000FF"/>
      <sz val="10"/>
    </font>
    <font>
      <name val="Calibri"/>
      <b val="1"/>
      <sz val="11"/>
    </font>
    <font>
      <name val="Calibri"/>
      <color rgb="FF0563C1"/>
      <sz val="11"/>
      <u val="single"/>
    </font>
    <font>
      <name val="Calibri"/>
      <i val="1"/>
      <color rgb="FF808080"/>
      <sz val="11"/>
    </font>
    <font>
      <b val="1"/>
      <color rgb="00FFFFFF"/>
      <sz val="16"/>
    </font>
    <font>
      <sz val="10"/>
    </font>
  </fonts>
  <fills count="10">
    <fill>
      <patternFill/>
    </fill>
    <fill>
      <patternFill patternType="gray125"/>
    </fill>
    <fill>
      <patternFill patternType="solid">
        <fgColor rgb="FF0F5132"/>
        <bgColor rgb="FF003366"/>
      </patternFill>
    </fill>
    <fill>
      <patternFill patternType="solid">
        <fgColor rgb="FFD1E7DD"/>
        <bgColor rgb="FFE2EFDA"/>
      </patternFill>
    </fill>
    <fill>
      <patternFill patternType="solid">
        <fgColor rgb="FFE2EFDA"/>
        <bgColor rgb="FFD1E7DD"/>
      </patternFill>
    </fill>
    <fill>
      <patternFill patternType="solid">
        <fgColor rgb="FFFFE8CC"/>
        <bgColor rgb="FFFFD6D6"/>
      </patternFill>
    </fill>
    <fill>
      <patternFill patternType="solid">
        <fgColor rgb="FFFFD6D6"/>
        <bgColor rgb="FFFFE8CC"/>
      </patternFill>
    </fill>
    <fill>
      <patternFill patternType="solid">
        <fgColor rgb="FFFFFF00"/>
        <bgColor rgb="FFFFFF00"/>
      </patternFill>
    </fill>
    <fill>
      <patternFill patternType="solid">
        <fgColor rgb="00C00000"/>
      </patternFill>
    </fill>
    <fill>
      <patternFill patternType="solid">
        <fgColor rgb="00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3" fillId="3" borderId="0" pivotButton="0" quotePrefix="0" xfId="0"/>
    <xf numFmtId="0" fontId="0" fillId="3" borderId="0"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horizontal="center"/>
    </xf>
    <xf numFmtId="9" fontId="4" fillId="0" borderId="1" applyAlignment="1" pivotButton="0" quotePrefix="0" xfId="0">
      <alignment vertical="top"/>
    </xf>
    <xf numFmtId="164" fontId="4" fillId="0" borderId="1" applyAlignment="1" pivotButton="0" quotePrefix="0" xfId="0">
      <alignment vertical="top"/>
    </xf>
    <xf numFmtId="3" fontId="4" fillId="0" borderId="1" applyAlignment="1" pivotButton="0" quotePrefix="0" xfId="0">
      <alignment vertical="top"/>
    </xf>
    <xf numFmtId="0" fontId="4" fillId="5" borderId="1" applyAlignment="1" pivotButton="0" quotePrefix="0" xfId="0">
      <alignment horizontal="center"/>
    </xf>
    <xf numFmtId="0" fontId="4" fillId="6" borderId="1" applyAlignment="1" pivotButton="0" quotePrefix="0" xfId="0">
      <alignment horizontal="center"/>
    </xf>
    <xf numFmtId="0" fontId="3" fillId="0" borderId="0" pivotButton="0" quotePrefix="0" xfId="0"/>
    <xf numFmtId="165" fontId="3" fillId="7" borderId="0" pivotButton="0" quotePrefix="0" xfId="0"/>
    <xf numFmtId="164" fontId="3" fillId="4" borderId="0" pivotButton="0" quotePrefix="0" xfId="0"/>
    <xf numFmtId="3" fontId="3" fillId="4" borderId="0" pivotButton="0" quotePrefix="0" xfId="0"/>
    <xf numFmtId="0" fontId="4" fillId="0" borderId="1" pivotButton="0" quotePrefix="0" xfId="0"/>
    <xf numFmtId="3" fontId="4" fillId="0" borderId="1" pivotButton="0" quotePrefix="0" xfId="0"/>
    <xf numFmtId="3" fontId="6" fillId="0" borderId="1" pivotButton="0" quotePrefix="0" xfId="0"/>
    <xf numFmtId="3" fontId="6" fillId="7" borderId="1" pivotButton="0" quotePrefix="0" xfId="0"/>
    <xf numFmtId="166" fontId="4" fillId="0" borderId="1" pivotButton="0" quotePrefix="0" xfId="0"/>
    <xf numFmtId="0" fontId="4" fillId="0" borderId="1" applyAlignment="1" pivotButton="0" quotePrefix="0" xfId="0">
      <alignment wrapText="1"/>
    </xf>
    <xf numFmtId="0" fontId="4" fillId="0" borderId="0" pivotButton="0" quotePrefix="0" xfId="0"/>
    <xf numFmtId="3" fontId="4" fillId="0" borderId="0" pivotButton="0" quotePrefix="0" xfId="0"/>
    <xf numFmtId="165" fontId="3" fillId="4" borderId="0" pivotButton="0" quotePrefix="0" xfId="0"/>
    <xf numFmtId="166" fontId="3" fillId="0" borderId="0" pivotButton="0" quotePrefix="0" xfId="0"/>
    <xf numFmtId="0" fontId="6" fillId="0" borderId="1" pivotButton="0" quotePrefix="0" xfId="0"/>
    <xf numFmtId="0" fontId="2" fillId="0" borderId="0" applyAlignment="1" pivotButton="0" quotePrefix="0" xfId="0">
      <alignment wrapText="1"/>
    </xf>
    <xf numFmtId="3" fontId="3" fillId="0" borderId="0" pivotButton="0" quotePrefix="0" xfId="0"/>
    <xf numFmtId="3" fontId="3" fillId="7" borderId="0" pivotButton="0" quotePrefix="0" xfId="0"/>
    <xf numFmtId="165" fontId="4" fillId="0" borderId="1" pivotButton="0" quotePrefix="0" xfId="0"/>
    <xf numFmtId="0" fontId="3" fillId="4" borderId="1" applyAlignment="1" pivotButton="0" quotePrefix="0" xfId="0">
      <alignment horizontal="center"/>
    </xf>
    <xf numFmtId="0" fontId="0" fillId="0" borderId="1" pivotButton="0" quotePrefix="0" xfId="0"/>
    <xf numFmtId="0" fontId="3" fillId="5" borderId="1" applyAlignment="1" pivotButton="0" quotePrefix="0" xfId="0">
      <alignment horizontal="center"/>
    </xf>
    <xf numFmtId="0" fontId="3" fillId="6" borderId="1" applyAlignment="1" pivotButton="0" quotePrefix="0" xfId="0">
      <alignment horizontal="center"/>
    </xf>
    <xf numFmtId="165" fontId="3"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vertical="top" wrapText="1"/>
    </xf>
    <xf numFmtId="0" fontId="4" fillId="0" borderId="0" pivotButton="0" quotePrefix="0" xfId="0"/>
    <xf numFmtId="0" fontId="0" fillId="0" borderId="0" pivotButton="0" quotePrefix="0" xfId="0"/>
    <xf numFmtId="0" fontId="4" fillId="0" borderId="0" applyAlignment="1" pivotButton="0" quotePrefix="0" xfId="0">
      <alignment wrapText="1"/>
    </xf>
    <xf numFmtId="0" fontId="3" fillId="0" borderId="0" pivotButton="0" quotePrefix="0" xfId="0"/>
    <xf numFmtId="0" fontId="2" fillId="0" borderId="0" applyAlignment="1" pivotButton="0" quotePrefix="0" xfId="0">
      <alignment wrapText="1"/>
    </xf>
    <xf numFmtId="0" fontId="10" fillId="8" borderId="0" applyAlignment="1" pivotButton="0" quotePrefix="0" xfId="0">
      <alignment vertical="center" indent="1"/>
    </xf>
    <xf numFmtId="0" fontId="11" fillId="9" borderId="0" applyAlignment="1" pivotButton="0" quotePrefix="0" xfId="0">
      <alignment vertical="top" wrapText="1" inden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8CC"/>
      <rgbColor rgb="FFD1E7D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6D6"/>
      <rgbColor rgb="FF3366FF"/>
      <rgbColor rgb="FF33CCCC"/>
      <rgbColor rgb="FF99CC00"/>
      <rgbColor rgb="FFFFCC00"/>
      <rgbColor rgb="FFFF9900"/>
      <rgbColor rgb="FFFF6600"/>
      <rgbColor rgb="FF555555"/>
      <rgbColor rgb="FF969696"/>
      <rgbColor rgb="FF003366"/>
      <rgbColor rgb="FF339966"/>
      <rgbColor rgb="FF0F5132"/>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inecokamanindia.com/" TargetMode="External" Id="rId1"/><Relationship Type="http://schemas.openxmlformats.org/officeDocument/2006/relationships/hyperlink" Target="https://www.compositestechnologypark.com/about.html" TargetMode="External" Id="rId2"/><Relationship Type="http://schemas.openxmlformats.org/officeDocument/2006/relationships/hyperlink" Target="https://www.compositestechnologypark.com/about.html" TargetMode="External" Id="rId3"/><Relationship Type="http://schemas.openxmlformats.org/officeDocument/2006/relationships/hyperlink" Target="https://www.kinecokamanindia.com/" TargetMode="External" Id="rId4"/><Relationship Type="http://schemas.openxmlformats.org/officeDocument/2006/relationships/hyperlink" Target="https://bharathcomponents.com/buy-bldc-motor/" TargetMode="External" Id="rId5"/><Relationship Type="http://schemas.openxmlformats.org/officeDocument/2006/relationships/hyperlink" Target="https://www.flamebacktech.com/esc" TargetMode="External" Id="rId6"/><Relationship Type="http://schemas.openxmlformats.org/officeDocument/2006/relationships/hyperlink" Target="https://www.sraeros.com/drone-propeller.html" TargetMode="External" Id="rId7"/><Relationship Type="http://schemas.openxmlformats.org/officeDocument/2006/relationships/hyperlink" Target="https://evreporter.com/godi-receives-bis-certification-to-sell-li-ion-cells-in-india/" TargetMode="External" Id="rId8"/><Relationship Type="http://schemas.openxmlformats.org/officeDocument/2006/relationships/hyperlink" Target="https://revogreenbatteries.com/pages/custom-batteries" TargetMode="External" Id="rId9"/><Relationship Type="http://schemas.openxmlformats.org/officeDocument/2006/relationships/hyperlink" Target="https://www.flamebacktech.com/" TargetMode="External" Id="rId10"/><Relationship Type="http://schemas.openxmlformats.org/officeDocument/2006/relationships/hyperlink" Target="https://www.flamebacktech.com/" TargetMode="External" Id="rId11"/><Relationship Type="http://schemas.openxmlformats.org/officeDocument/2006/relationships/hyperlink" Target="https://www.flamebacktech.com/" TargetMode="External" Id="rId12"/><Relationship Type="http://schemas.openxmlformats.org/officeDocument/2006/relationships/hyperlink" Target="https://www.flamebacktech.com/" TargetMode="External" Id="rId13"/><Relationship Type="http://schemas.openxmlformats.org/officeDocument/2006/relationships/hyperlink" Target="https://www.agamrobotics.com/agamautopilotv6x-rt" TargetMode="External" Id="rId14"/><Relationship Type="http://schemas.openxmlformats.org/officeDocument/2006/relationships/hyperlink" Target="https://vegaprocessors.in/" TargetMode="External" Id="rId15"/><Relationship Type="http://schemas.openxmlformats.org/officeDocument/2006/relationships/hyperlink" Target="https://www.teravolt.in/product-page/aeronav-1-dual-band-gnss" TargetMode="External" Id="rId16"/><Relationship Type="http://schemas.openxmlformats.org/officeDocument/2006/relationships/hyperlink" Target="https://www.teravolt.in/product-page/aeronav-1-dual-band-gnss" TargetMode="External" Id="rId17"/><Relationship Type="http://schemas.openxmlformats.org/officeDocument/2006/relationships/hyperlink" Target="https://zerodrag.in/products/express-lrs-receiver" TargetMode="External" Id="rId18"/><Relationship Type="http://schemas.openxmlformats.org/officeDocument/2006/relationships/hyperlink" Target="https://www.nvidia.com/en-us/autonomous-machines/embedded-systems/jetson-orin/nano-super-developer-kit/" TargetMode="External" Id="rId19"/><Relationship Type="http://schemas.openxmlformats.org/officeDocument/2006/relationships/hyperlink" Target="https://www.e-consystems.com/nvidia-cameras/jetson-orin-nx-cameras/12mp-sony-starvis-imx412-ultra-low-light-camera.asp" TargetMode="External" Id="rId20"/><Relationship Type="http://schemas.openxmlformats.org/officeDocument/2006/relationships/hyperlink" Target="https://www.fxuav.com/" TargetMode="External" Id="rId21"/><Relationship Type="http://schemas.openxmlformats.org/officeDocument/2006/relationships/hyperlink" Target="https://www.fxuav.com/" TargetMode="External" Id="rId22"/><Relationship Type="http://schemas.openxmlformats.org/officeDocument/2006/relationships/hyperlink" Target="https://fruitychutes.com/uav_rpv_drone_recovery_parachutes" TargetMode="External" Id="rId23"/></Relationships>
</file>

<file path=xl/worksheets/sheet1.xml><?xml version="1.0" encoding="utf-8"?>
<worksheet xmlns="http://schemas.openxmlformats.org/spreadsheetml/2006/main">
  <sheetPr>
    <outlinePr summaryBelow="1" summaryRight="1"/>
    <pageSetUpPr/>
  </sheetPr>
  <dimension ref="A1:J17"/>
  <sheetViews>
    <sheetView zoomScaleNormal="100" workbookViewId="0">
      <selection activeCell="A1" sqref="A1"/>
    </sheetView>
  </sheetViews>
  <sheetFormatPr baseColWidth="8" defaultColWidth="8.6640625" defaultRowHeight="14.4"/>
  <cols>
    <col width="3" customWidth="1" style="45" min="1" max="1"/>
    <col width="20" customWidth="1" style="45" min="2" max="2"/>
    <col width="100" customWidth="1" style="45" min="3" max="3"/>
  </cols>
  <sheetData>
    <row r="1" ht="30" customHeight="1" s="45">
      <c r="A1" s="49" t="inlineStr">
        <is>
          <t>SUPERSEDED - DO NOT QUOTE THESE FIGURES</t>
        </is>
      </c>
    </row>
    <row r="2" ht="30" customHeight="1" s="45">
      <c r="A2" s="50" t="inlineStr">
        <is>
          <t>The live budget is RescueSwarm_Cost_Study.xlsx (ask 737,829, 7.38 L), generated from docs/proposal/figures/competition_budget.py. This sheet states 264,400 per aircraft against the adopted 157,800 -- 68 % high. First Indian-sourced pass. Superseded by the Verified sheet, then by the adopted configuration.</t>
        </is>
      </c>
    </row>
    <row r="3" ht="18" customHeight="1" s="45"/>
    <row r="5" ht="49.5" customHeight="1" s="45"/>
    <row r="6" ht="37.5" customHeight="1" s="45">
      <c r="B6" s="1" t="inlineStr">
        <is>
          <t>RescueSwarm — All-Indian Bill of Materials</t>
        </is>
      </c>
    </row>
    <row r="7" ht="75" customHeight="1" s="45">
      <c r="B7" s="2" t="inlineStr">
        <is>
          <t>NIDAR 2.0 (2026-27) Track 1 · every component sourced from an Indian supplier wherever one exists</t>
        </is>
      </c>
    </row>
    <row r="8" ht="49.5" customHeight="1" s="45"/>
    <row r="9" ht="75" customHeight="1" s="45">
      <c r="B9" s="3" t="inlineStr">
        <is>
          <t>WHY</t>
        </is>
      </c>
      <c r="C9" s="4" t="inlineStr">
        <is>
          <t>NIDAR 2.0 is a MeitY / Drone Federation of India programme under SwaYaan, explicitly aimed at Atmanirbhar Bharat. Track 2 mandates the C-DAC VEGA processor. Track 1 does not mandate indigenous parts, but the programme's stated purpose is to move India "from drone assembly to manufacturing the drone's brain in India" — so an indigenised build is directly aligned with how this competition is judged and funded.</t>
        </is>
      </c>
    </row>
    <row r="10" ht="49.5" customHeight="1" s="45">
      <c r="B10" s="3" t="inlineStr">
        <is>
          <t>TIER DEFINITIONS</t>
        </is>
      </c>
      <c r="C10" s="4" t="inlineStr">
        <is>
          <t>I1 = Indian company, Indian design, Indian manufacture. I2 = Indian design and assembly, imported silicon or raw fibre. I3 = Indian assembly and value-add from imported subassemblies. I4 = no Indian option exists at this capability level; imported, with a declared mitigation.</t>
        </is>
      </c>
    </row>
    <row r="11" ht="62.25" customHeight="1" s="45">
      <c r="B11" s="3" t="inlineStr">
        <is>
          <t>HONEST HEADLINE</t>
        </is>
      </c>
      <c r="C11" s="4" t="inlineStr">
        <is>
          <t>Roughly 90% of line items have a real Indian supplier, and about 68% of PROGRAMME VALUE is Indian, against about 59% of flight-hardware value. The gap is not evasion - it is what happens when Indian-designed boards carry imported silicon. Four things have no Indian option at all: the AI inference SoM (no Indian GPU/NPU at this class), high-drain 21700 cells at 45 A, 802.11/LoRa RF chipsets, and high-current connectors. Tab 09 computes all of this from the line items, so the number you quote to evaluators is one you can defend. Do not transcribe it into a slide and leave it there - re-read tab 09 every time the BOM changes.</t>
        </is>
      </c>
    </row>
    <row r="12" ht="37.5" customHeight="1" s="45">
      <c r="B12" s="3" t="inlineStr">
        <is>
          <t>WHY 60% AND NOT 90%</t>
        </is>
      </c>
      <c r="C12" s="4" t="inlineStr">
        <is>
          <t>An Indian flight controller, GNSS receiver or camera module is Indian design, Indian firmware, Indian manufacture — on an imported MCU or sensor die. This BOM scores those at 60% Indian value rather than 100%. That is a deliberately conservative accounting choice. If you score by supplier, or by design ownership, the number is far higher. State which basis you are using whenever you quote a figure.</t>
        </is>
      </c>
    </row>
    <row r="13" ht="37.5" customHeight="1" s="45">
      <c r="B13" s="3" t="inlineStr">
        <is>
          <t>THE BEST FINDS</t>
        </is>
      </c>
      <c r="C13" s="4" t="inlineStr">
        <is>
          <t>1. NavIC. Indian GNSS receivers process ISRO's NavIC L1+L5 natively, giving more satellites directly overhead than any imported GPS-only module, faster time-to-first-fix, and a fallback constellation if GPS is jammed. This is an indigenisation choice that makes the system TECHNICALLY BETTER, not just compliant. 2. Flameback Tech ships a 6-12S 60 A ESC that matches the sizing requirement exactly. 3. e-con Systems (Chennai) is a genuine world-class embedded-vision house with global-shutter MIPI modules. 4. Agam Robotics and Zuppa both ship flight-ready Indian autopilots.</t>
        </is>
      </c>
    </row>
    <row r="14">
      <c r="B14" s="3" t="inlineStr">
        <is>
          <t>THE VEGA ANGLE</t>
        </is>
      </c>
      <c r="C14" s="4" t="inlineStr">
        <is>
          <t>C-DAC gives two VEGA processor dev kits to each of the top 100 teams. Even in Track 1, a VEGA-based subsystem — the payload release controller, the mesh node manager, or a redundant failsafe watchdog — is a credible, low-risk way to demonstrate indigenous silicon without putting an unproven RISC-V autopilot on the flight-critical path. Strongly recommended as a scored differentiator.</t>
        </is>
      </c>
    </row>
    <row r="15">
      <c r="B15" s="3" t="inlineStr">
        <is>
          <t>WHAT CHANGED vs THE IMPORTED BOM</t>
        </is>
      </c>
      <c r="C15" s="4" t="inlineStr">
        <is>
          <t>Mass and performance are essentially unchanged: MTOW stays ~5.7 kg and the fleet stays ~17 kg against the 25 kg cap. Cost drops, because Indian motors, ESCs, props, structure and packs undercut T-Motor and Holybro. Lead times improve sharply — 4-6 weeks of import freight becomes 1-3 weeks domestic. The one performance question mark is the RTK/moving-baseline capability of the Indian GNSS options, which must be confirmed before Phase 1 closes.</t>
        </is>
      </c>
    </row>
    <row r="16">
      <c r="B16" s="3" t="inlineStr">
        <is>
          <t>HOW TO USE</t>
        </is>
      </c>
      <c r="C16" s="4" t="inlineStr">
        <is>
          <t>Blue cells are inputs. The Tier column is colour-coded: green = Indian, orange = Indian assembly, red = import with no Indian option. The "Indian Value" column is Ext. Price x Indigenous %, and tab 09 rolls it up into an indigenisation score by mass and by value.</t>
        </is>
      </c>
    </row>
    <row r="17">
      <c r="B17" s="3" t="inlineStr">
        <is>
          <t>CAUTION ON PRICES</t>
        </is>
      </c>
      <c r="C17" s="4" t="inlineStr">
        <is>
          <t>Indicative budgetary estimates only. Indian drone-component pricing is quotation-driven and moves fast; several of these suppliers do not publish list prices. Send an RFQ to every supplier named here in week 1 of Phase 0 — lead time discovery matters more than price discovery.</t>
        </is>
      </c>
    </row>
  </sheetData>
  <mergeCells count="2">
    <mergeCell ref="A1:J1"/>
    <mergeCell ref="A2:J3"/>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Q61"/>
  <sheetViews>
    <sheetView tabSelected="1" topLeftCell="F1" zoomScale="94" zoomScaleNormal="100" workbookViewId="0">
      <pane ySplit="3" topLeftCell="A37" activePane="bottomLeft" state="frozen"/>
      <selection pane="bottomLeft" activeCell="P43" sqref="P43"/>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 width="46" customWidth="1" style="45" min="16" max="16"/>
    <col width="60" customWidth="1" style="45" min="17" max="17"/>
  </cols>
  <sheetData>
    <row r="1" ht="17.4" customHeight="1" s="45">
      <c r="A1" s="1" t="inlineStr">
        <is>
          <t>01 — AIR VEHICLE BOM, INDIAN SOURCES (per aircraft; x3 for the fleet)</t>
        </is>
      </c>
    </row>
    <row r="2" ht="15" customHeight="1" s="45">
      <c r="A2" s="2" t="inlineStr">
        <is>
          <t>Design point unchanged: quad, 18 in props, 6S3P 21700, MTOW ~5.7 kg, fleet ~17 kg vs the 25 kg cap. Prices indicative INR.</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c r="P3" s="40" t="inlineStr">
        <is>
          <t>Source link</t>
        </is>
      </c>
      <c r="Q3" s="40" t="inlineStr">
        <is>
          <t>Sourcing note
(verified 2026-08-10)</t>
        </is>
      </c>
    </row>
    <row r="4" ht="15" customHeight="1" s="45">
      <c r="A4" s="6" t="inlineStr">
        <is>
          <t>STRUCTURE</t>
        </is>
      </c>
      <c r="B4" s="7" t="n"/>
      <c r="C4" s="7" t="n"/>
      <c r="D4" s="7" t="n"/>
      <c r="E4" s="7" t="n"/>
      <c r="F4" s="7" t="n"/>
      <c r="G4" s="7" t="n"/>
      <c r="H4" s="7" t="n"/>
      <c r="I4" s="7" t="n"/>
      <c r="J4" s="7" t="n"/>
      <c r="K4" s="7" t="n"/>
      <c r="L4" s="7" t="n"/>
      <c r="M4" s="7" t="n"/>
      <c r="N4" s="7" t="n"/>
      <c r="O4" s="7" t="n"/>
    </row>
    <row r="5" ht="35.1" customHeight="1" s="45">
      <c r="A5" s="8" t="n">
        <v>1</v>
      </c>
      <c r="B5" s="9" t="inlineStr">
        <is>
          <t>Arm tube</t>
        </is>
      </c>
      <c r="C5" s="9" t="inlineStr">
        <is>
          <t>CF round tube 25 x 23 x 400 mm, pultruded/roll-wrapped</t>
        </is>
      </c>
      <c r="D5" s="9" t="inlineStr">
        <is>
          <t>Kineco Kaman Composites (Goa) / Composite Technology Park (Bengaluru)</t>
        </is>
      </c>
      <c r="E5" s="10" t="inlineStr">
        <is>
          <t>I2</t>
        </is>
      </c>
      <c r="F5" s="11" t="n">
        <v>0.7</v>
      </c>
      <c r="G5" s="8" t="n">
        <v>4</v>
      </c>
      <c r="H5" s="12" t="n">
        <v>95</v>
      </c>
      <c r="I5" s="12">
        <f>G5*H5</f>
        <v/>
      </c>
      <c r="J5" s="13" t="n">
        <v>1100</v>
      </c>
      <c r="K5" s="13">
        <f>G5*J5</f>
        <v/>
      </c>
      <c r="L5" s="13">
        <f>K5*F5</f>
        <v/>
      </c>
      <c r="M5" s="8" t="inlineStr">
        <is>
          <t>2 wk</t>
        </is>
      </c>
      <c r="N5" s="9" t="inlineStr">
        <is>
          <t>Sizing §13: arm root moment 9.4 N·m at T/W=2, 22 MPa vs ~600 MPa UD carbon, SF 28. Joint design, not the tube, is the driver.</t>
        </is>
      </c>
      <c r="O5" s="9" t="inlineStr">
        <is>
          <t>Carbon precursor fibre is imported (Epsilon Carbon is commissioning Indian PAN fibre). Weave and pultrusion are Indian.</t>
        </is>
      </c>
      <c r="P5" s="41" t="inlineStr">
        <is>
          <t>https://www.kinecokamanindia.com/</t>
        </is>
      </c>
      <c r="Q5" s="42" t="inlineStr">
        <is>
          <t>Fabricator, not a catalogue part. Quote to drawing. Aerospace CF, Pilerne Goa.</t>
        </is>
      </c>
    </row>
    <row r="6" ht="23.85" customHeight="1" s="45">
      <c r="A6" s="8" t="n">
        <v>2</v>
      </c>
      <c r="B6" s="9" t="inlineStr">
        <is>
          <t>Centre plate</t>
        </is>
      </c>
      <c r="C6" s="9" t="inlineStr">
        <is>
          <t>CF sandwich 2.5 mm, CNC cut, top + bottom</t>
        </is>
      </c>
      <c r="D6" s="9" t="inlineStr">
        <is>
          <t>Composite Technology Park, Bengaluru / local CNC job shop</t>
        </is>
      </c>
      <c r="E6" s="10" t="inlineStr">
        <is>
          <t>I2</t>
        </is>
      </c>
      <c r="F6" s="11" t="n">
        <v>0.7</v>
      </c>
      <c r="G6" s="8" t="n">
        <v>2</v>
      </c>
      <c r="H6" s="12" t="n">
        <v>155</v>
      </c>
      <c r="I6" s="12">
        <f>G6*H6</f>
        <v/>
      </c>
      <c r="J6" s="13" t="n">
        <v>3000</v>
      </c>
      <c r="K6" s="13">
        <f>G6*J6</f>
        <v/>
      </c>
      <c r="L6" s="13">
        <f>K6*F6</f>
        <v/>
      </c>
      <c r="M6" s="8" t="inlineStr">
        <is>
          <t>3 wk</t>
        </is>
      </c>
      <c r="N6" s="9" t="inlineStr">
        <is>
          <t>Rule C3 forbids a market-ready airframe — this must be your own design.</t>
        </is>
      </c>
      <c r="O6" s="9" t="inlineStr">
        <is>
          <t>Same fibre-origin caveat as the tubes.</t>
        </is>
      </c>
      <c r="P6" s="41" t="inlineStr">
        <is>
          <t>https://www.compositestechnologypark.com/about.html</t>
        </is>
      </c>
      <c r="Q6" s="42" t="inlineStr">
        <is>
          <t>Fabricator. CNC-cut CF sandwich to drawing.</t>
        </is>
      </c>
    </row>
    <row r="7" ht="35.1" customHeight="1" s="45">
      <c r="A7" s="8" t="n">
        <v>3</v>
      </c>
      <c r="B7" s="9" t="inlineStr">
        <is>
          <t>Arm clamp set</t>
        </is>
      </c>
      <c r="C7" s="9" t="inlineStr">
        <is>
          <t>Machined Al 6061-T6, 25 mm bore, anti-rotation key</t>
        </is>
      </c>
      <c r="D7" s="9" t="inlineStr">
        <is>
          <t>Local precision machine shop (Pune / Coimbatore / Bengaluru belt)</t>
        </is>
      </c>
      <c r="E7" s="10" t="inlineStr">
        <is>
          <t>I1</t>
        </is>
      </c>
      <c r="F7" s="11" t="n">
        <v>1</v>
      </c>
      <c r="G7" s="8" t="n">
        <v>4</v>
      </c>
      <c r="H7" s="12" t="n">
        <v>45</v>
      </c>
      <c r="I7" s="12">
        <f>G7*H7</f>
        <v/>
      </c>
      <c r="J7" s="13" t="n">
        <v>750</v>
      </c>
      <c r="K7" s="13">
        <f>G7*J7</f>
        <v/>
      </c>
      <c r="L7" s="13">
        <f>K7*F7</f>
        <v/>
      </c>
      <c r="M7" s="8" t="inlineStr">
        <is>
          <t>3 wk</t>
        </is>
      </c>
      <c r="N7" s="9" t="inlineStr">
        <is>
          <t>Highest-risk mechanical joint. Must not creep under vibration.</t>
        </is>
      </c>
      <c r="O7" s="9" t="inlineStr">
        <is>
          <t>None. India has deep small-batch CNC capacity.</t>
        </is>
      </c>
      <c r="P7" s="43" t="inlineStr">
        <is>
          <t>Local supply - quote at order, no catalogue part</t>
        </is>
      </c>
      <c r="Q7" s="42" t="n"/>
    </row>
    <row r="8" ht="23.85" customHeight="1" s="45">
      <c r="A8" s="8" t="n">
        <v>4</v>
      </c>
      <c r="B8" s="9" t="inlineStr">
        <is>
          <t>Motor mount plate</t>
        </is>
      </c>
      <c r="C8" s="9" t="inlineStr">
        <is>
          <t>CF 3 mm, tube saddle, bolt pattern matched to the chosen motor</t>
        </is>
      </c>
      <c r="D8" s="9" t="inlineStr">
        <is>
          <t>Local CNC / Composite Technology Park</t>
        </is>
      </c>
      <c r="E8" s="10" t="inlineStr">
        <is>
          <t>I2</t>
        </is>
      </c>
      <c r="F8" s="11" t="n">
        <v>0.7</v>
      </c>
      <c r="G8" s="8" t="n">
        <v>4</v>
      </c>
      <c r="H8" s="12" t="n">
        <v>22</v>
      </c>
      <c r="I8" s="12">
        <f>G8*H8</f>
        <v/>
      </c>
      <c r="J8" s="13" t="n">
        <v>400</v>
      </c>
      <c r="K8" s="13">
        <f>G8*J8</f>
        <v/>
      </c>
      <c r="L8" s="13">
        <f>K8*F8</f>
        <v/>
      </c>
      <c r="M8" s="8" t="inlineStr">
        <is>
          <t>3 wk</t>
        </is>
      </c>
      <c r="N8" s="9" t="inlineStr">
        <is>
          <t>Interfaces motor bolt circle to the arm.</t>
        </is>
      </c>
      <c r="O8" s="9" t="inlineStr">
        <is>
          <t>—</t>
        </is>
      </c>
      <c r="P8" s="41" t="inlineStr">
        <is>
          <t>https://www.compositestechnologypark.com/about.html</t>
        </is>
      </c>
      <c r="Q8" s="42" t="inlineStr">
        <is>
          <t>Fabricator. Same source as the centre plate.</t>
        </is>
      </c>
    </row>
    <row r="9" ht="23.85" customHeight="1" s="45">
      <c r="A9" s="8" t="n">
        <v>5</v>
      </c>
      <c r="B9" s="9" t="inlineStr">
        <is>
          <t>Landing gear leg</t>
        </is>
      </c>
      <c r="C9" s="9" t="inlineStr">
        <is>
          <t>CF tube 16 x 300 mm with damped foot</t>
        </is>
      </c>
      <c r="D9" s="9" t="inlineStr">
        <is>
          <t>Kineco / local composites</t>
        </is>
      </c>
      <c r="E9" s="10" t="inlineStr">
        <is>
          <t>I2</t>
        </is>
      </c>
      <c r="F9" s="11" t="n">
        <v>0.7</v>
      </c>
      <c r="G9" s="8" t="n">
        <v>4</v>
      </c>
      <c r="H9" s="12" t="n">
        <v>55</v>
      </c>
      <c r="I9" s="12">
        <f>G9*H9</f>
        <v/>
      </c>
      <c r="J9" s="13" t="n">
        <v>600</v>
      </c>
      <c r="K9" s="13">
        <f>G9*J9</f>
        <v/>
      </c>
      <c r="L9" s="13">
        <f>K9*F9</f>
        <v/>
      </c>
      <c r="M9" s="8" t="inlineStr">
        <is>
          <t>2 wk</t>
        </is>
      </c>
      <c r="N9" s="9" t="inlineStr">
        <is>
          <t>Absorbs a 1.5 m/s touchdown at 5.7 kg; keeps the magazine clear of ground.</t>
        </is>
      </c>
      <c r="O9" s="9" t="inlineStr">
        <is>
          <t>—</t>
        </is>
      </c>
      <c r="P9" s="41" t="inlineStr">
        <is>
          <t>https://www.kinecokamanindia.com/</t>
        </is>
      </c>
      <c r="Q9" s="42" t="inlineStr">
        <is>
          <t>Fabricator. Same source as the arm tube.</t>
        </is>
      </c>
    </row>
    <row r="10" ht="23.85" customHeight="1" s="45">
      <c r="A10" s="8" t="n">
        <v>6</v>
      </c>
      <c r="B10" s="9" t="inlineStr">
        <is>
          <t>Landing foot</t>
        </is>
      </c>
      <c r="C10" s="9" t="inlineStr">
        <is>
          <t>TPU printed, 50 mm dia</t>
        </is>
      </c>
      <c r="D10" s="9" t="inlineStr">
        <is>
          <t>In-house on an Indian FDM printer</t>
        </is>
      </c>
      <c r="E10" s="10" t="inlineStr">
        <is>
          <t>I1</t>
        </is>
      </c>
      <c r="F10" s="11" t="n">
        <v>1</v>
      </c>
      <c r="G10" s="8" t="n">
        <v>4</v>
      </c>
      <c r="H10" s="12" t="n">
        <v>12</v>
      </c>
      <c r="I10" s="12">
        <f>G10*H10</f>
        <v/>
      </c>
      <c r="J10" s="13" t="n">
        <v>100</v>
      </c>
      <c r="K10" s="13">
        <f>G10*J10</f>
        <v/>
      </c>
      <c r="L10" s="13">
        <f>K10*F10</f>
        <v/>
      </c>
      <c r="M10" s="8" t="inlineStr">
        <is>
          <t>—</t>
        </is>
      </c>
      <c r="N10" s="9" t="inlineStr">
        <is>
          <t>Damps landing impulse, protects tube ends.</t>
        </is>
      </c>
      <c r="O10" s="9" t="inlineStr">
        <is>
          <t>Filament: WOL3D / Fila3D (Indian extruders, imported resin pellets).</t>
        </is>
      </c>
      <c r="P10" s="43" t="inlineStr">
        <is>
          <t>In-house / fabricated to drawing - no catalogue part</t>
        </is>
      </c>
      <c r="Q10" s="42" t="n"/>
    </row>
    <row r="11" ht="15" customHeight="1" s="45">
      <c r="A11" s="8" t="n">
        <v>7</v>
      </c>
      <c r="B11" s="9" t="inlineStr">
        <is>
          <t>Battery tray + strap</t>
        </is>
      </c>
      <c r="C11" s="9" t="inlineStr">
        <is>
          <t>CF tray, hook-loop straps, foam pad</t>
        </is>
      </c>
      <c r="D11" s="9" t="inlineStr">
        <is>
          <t>In-house + local hardware</t>
        </is>
      </c>
      <c r="E11" s="10" t="inlineStr">
        <is>
          <t>I1</t>
        </is>
      </c>
      <c r="F11" s="11" t="n">
        <v>1</v>
      </c>
      <c r="G11" s="8" t="n">
        <v>1</v>
      </c>
      <c r="H11" s="12" t="n">
        <v>85</v>
      </c>
      <c r="I11" s="12">
        <f>G11*H11</f>
        <v/>
      </c>
      <c r="J11" s="13" t="n">
        <v>600</v>
      </c>
      <c r="K11" s="13">
        <f>G11*J11</f>
        <v/>
      </c>
      <c r="L11" s="13">
        <f>K11*F11</f>
        <v/>
      </c>
      <c r="M11" s="8" t="inlineStr">
        <is>
          <t>1 wk</t>
        </is>
      </c>
      <c r="N11" s="9" t="inlineStr">
        <is>
          <t>Retains a ~1.45 kg pack under a 3 g landing load.</t>
        </is>
      </c>
      <c r="O11" s="9" t="inlineStr">
        <is>
          <t>—</t>
        </is>
      </c>
      <c r="P11" s="43" t="inlineStr">
        <is>
          <t>In-house / fabricated to drawing - no catalogue part</t>
        </is>
      </c>
      <c r="Q11" s="42" t="n"/>
    </row>
    <row r="12" ht="23.85" customHeight="1" s="45">
      <c r="A12" s="8" t="n">
        <v>8</v>
      </c>
      <c r="B12" s="9" t="inlineStr">
        <is>
          <t>FC vibration mount</t>
        </is>
      </c>
      <c r="C12" s="9" t="inlineStr">
        <is>
          <t>Silicone damping-ball plate, 20-30 shore</t>
        </is>
      </c>
      <c r="D12" s="9" t="inlineStr">
        <is>
          <t>Indian rubber/silicone moulder + in-house plate</t>
        </is>
      </c>
      <c r="E12" s="10" t="inlineStr">
        <is>
          <t>I1</t>
        </is>
      </c>
      <c r="F12" s="11" t="n">
        <v>1</v>
      </c>
      <c r="G12" s="8" t="n">
        <v>1</v>
      </c>
      <c r="H12" s="12" t="n">
        <v>18</v>
      </c>
      <c r="I12" s="12">
        <f>G12*H12</f>
        <v/>
      </c>
      <c r="J12" s="13" t="n">
        <v>350</v>
      </c>
      <c r="K12" s="13">
        <f>G12*J12</f>
        <v/>
      </c>
      <c r="L12" s="13">
        <f>K12*F12</f>
        <v/>
      </c>
      <c r="M12" s="8" t="inlineStr">
        <is>
          <t>1 wk</t>
        </is>
      </c>
      <c r="N12" s="9" t="inlineStr">
        <is>
          <t>IMU vibration is the leading cause of EKF failure on student builds.</t>
        </is>
      </c>
      <c r="O12" s="9" t="inlineStr">
        <is>
          <t>—</t>
        </is>
      </c>
      <c r="P12" s="43" t="inlineStr">
        <is>
          <t>Local supply - quote at order, no catalogue part</t>
        </is>
      </c>
      <c r="Q12" s="42" t="n"/>
    </row>
    <row r="13" ht="23.85" customHeight="1" s="45">
      <c r="A13" s="8" t="n">
        <v>9</v>
      </c>
      <c r="B13" s="9" t="inlineStr">
        <is>
          <t>Electronics canopy</t>
        </is>
      </c>
      <c r="C13" s="9" t="inlineStr">
        <is>
          <t>3D-printed PETG/ASA shell, vented, splash-tolerant</t>
        </is>
      </c>
      <c r="D13" s="9" t="inlineStr">
        <is>
          <t>In-house (Fracktal Works / Divide By Zero printer)</t>
        </is>
      </c>
      <c r="E13" s="10" t="inlineStr">
        <is>
          <t>I1</t>
        </is>
      </c>
      <c r="F13" s="11" t="n">
        <v>1</v>
      </c>
      <c r="G13" s="8" t="n">
        <v>1</v>
      </c>
      <c r="H13" s="12" t="n">
        <v>140</v>
      </c>
      <c r="I13" s="12">
        <f>G13*H13</f>
        <v/>
      </c>
      <c r="J13" s="13" t="n">
        <v>500</v>
      </c>
      <c r="K13" s="13">
        <f>G13*J13</f>
        <v/>
      </c>
      <c r="L13" s="13">
        <f>K13*F13</f>
        <v/>
      </c>
      <c r="M13" s="8" t="inlineStr">
        <is>
          <t>1 wk</t>
        </is>
      </c>
      <c r="N13" s="9" t="inlineStr">
        <is>
          <t>Houses compute, mesh node, PDB; accepts the cooling duct.</t>
        </is>
      </c>
      <c r="O13" s="9" t="inlineStr">
        <is>
          <t>—</t>
        </is>
      </c>
      <c r="P13" s="43" t="inlineStr">
        <is>
          <t>In-house / fabricated to drawing - no catalogue part</t>
        </is>
      </c>
      <c r="Q13" s="42" t="n"/>
    </row>
    <row r="14" ht="23.85" customHeight="1" s="45">
      <c r="A14" s="8" t="n">
        <v>10</v>
      </c>
      <c r="B14" s="9" t="inlineStr">
        <is>
          <t>Compute cooling blower</t>
        </is>
      </c>
      <c r="C14" s="9" t="inlineStr">
        <is>
          <t>5 V 40 mm blower + printed duct, live from power-on</t>
        </is>
      </c>
      <c r="D14" s="9" t="inlineStr">
        <is>
          <t>Indian fan supplier + in-house duct</t>
        </is>
      </c>
      <c r="E14" s="10" t="inlineStr">
        <is>
          <t>I2</t>
        </is>
      </c>
      <c r="F14" s="11" t="n">
        <v>0.6</v>
      </c>
      <c r="G14" s="8" t="n">
        <v>1</v>
      </c>
      <c r="H14" s="12" t="n">
        <v>32</v>
      </c>
      <c r="I14" s="12">
        <f>G14*H14</f>
        <v/>
      </c>
      <c r="J14" s="13" t="n">
        <v>400</v>
      </c>
      <c r="K14" s="13">
        <f>G14*J14</f>
        <v/>
      </c>
      <c r="L14" s="13">
        <f>K14*F14</f>
        <v/>
      </c>
      <c r="M14" s="8" t="inlineStr">
        <is>
          <t>1 wk</t>
        </is>
      </c>
      <c r="N14" s="9" t="inlineStr">
        <is>
          <t>Sizing §14: worst thermal case is the 5-min ground setup with props stopped at 35 °C ambient.</t>
        </is>
      </c>
      <c r="O14" s="9" t="inlineStr">
        <is>
          <t>Small DC fans are largely imported; duct and integration are Indian.</t>
        </is>
      </c>
      <c r="P14" s="43" t="inlineStr">
        <is>
          <t>Local supply - quote at order, no catalogue part</t>
        </is>
      </c>
      <c r="Q14" s="42" t="n"/>
    </row>
    <row r="15" ht="23.85" customHeight="1" s="45">
      <c r="A15" s="8" t="n">
        <v>11</v>
      </c>
      <c r="B15" s="9" t="inlineStr">
        <is>
          <t>Fastener kit</t>
        </is>
      </c>
      <c r="C15" s="9" t="inlineStr">
        <is>
          <t>M3 socket cap A2, nyloc, washers, heat inserts (~120 pcs)</t>
        </is>
      </c>
      <c r="D15" s="9" t="inlineStr">
        <is>
          <t>Sundram Fasteners (Chennai) / Unbrako India</t>
        </is>
      </c>
      <c r="E15" s="10" t="inlineStr">
        <is>
          <t>I1</t>
        </is>
      </c>
      <c r="F15" s="11" t="n">
        <v>1</v>
      </c>
      <c r="G15" s="8" t="n">
        <v>1</v>
      </c>
      <c r="H15" s="12" t="n">
        <v>110</v>
      </c>
      <c r="I15" s="12">
        <f>G15*H15</f>
        <v/>
      </c>
      <c r="J15" s="13" t="n">
        <v>800</v>
      </c>
      <c r="K15" s="13">
        <f>G15*J15</f>
        <v/>
      </c>
      <c r="L15" s="13">
        <f>K15*F15</f>
        <v/>
      </c>
      <c r="M15" s="8" t="inlineStr">
        <is>
          <t>1 wk</t>
        </is>
      </c>
      <c r="N15" s="9" t="inlineStr">
        <is>
          <t>—</t>
        </is>
      </c>
      <c r="O15" s="9" t="inlineStr">
        <is>
          <t>None. Indian fastener manufacture is world class.</t>
        </is>
      </c>
      <c r="P15" s="43" t="inlineStr">
        <is>
          <t>Local supply - quote at order, no catalogue part</t>
        </is>
      </c>
      <c r="Q15" s="42" t="inlineStr">
        <is>
          <t>Sundram Fasteners named in col D but not verified against a catalogue page.</t>
        </is>
      </c>
    </row>
    <row r="16" ht="23.85" customHeight="1" s="45">
      <c r="A16" s="8" t="n">
        <v>12</v>
      </c>
      <c r="B16" s="9" t="inlineStr">
        <is>
          <t>Standoffs, spacers, grommets</t>
        </is>
      </c>
      <c r="C16" s="9" t="inlineStr">
        <is>
          <t>M3 aluminium 10-40 mm, rubber grommets, P-clips</t>
        </is>
      </c>
      <c r="D16" s="9" t="inlineStr">
        <is>
          <t>Local hardware</t>
        </is>
      </c>
      <c r="E16" s="10" t="inlineStr">
        <is>
          <t>I1</t>
        </is>
      </c>
      <c r="F16" s="11" t="n">
        <v>1</v>
      </c>
      <c r="G16" s="8" t="n">
        <v>1</v>
      </c>
      <c r="H16" s="12" t="n">
        <v>95</v>
      </c>
      <c r="I16" s="12">
        <f>G16*H16</f>
        <v/>
      </c>
      <c r="J16" s="13" t="n">
        <v>600</v>
      </c>
      <c r="K16" s="13">
        <f>G16*J16</f>
        <v/>
      </c>
      <c r="L16" s="13">
        <f>K16*F16</f>
        <v/>
      </c>
      <c r="M16" s="8" t="inlineStr">
        <is>
          <t>1 wk</t>
        </is>
      </c>
      <c r="N16" s="9" t="inlineStr">
        <is>
          <t>Chafe protection where the harness crosses CF — carbon dust is conductive and abrasive.</t>
        </is>
      </c>
      <c r="O16" s="9" t="inlineStr">
        <is>
          <t>—</t>
        </is>
      </c>
      <c r="P16" s="43" t="inlineStr">
        <is>
          <t>Local supply - quote at order, no catalogue part</t>
        </is>
      </c>
      <c r="Q16" s="42" t="n"/>
    </row>
    <row r="17" ht="15" customHeight="1" s="45">
      <c r="A17" s="6" t="inlineStr">
        <is>
          <t>PROPULSION</t>
        </is>
      </c>
      <c r="B17" s="7" t="n"/>
      <c r="C17" s="7" t="n"/>
      <c r="D17" s="7" t="n"/>
      <c r="E17" s="7" t="n"/>
      <c r="F17" s="7" t="n"/>
      <c r="G17" s="7" t="n"/>
      <c r="H17" s="7" t="n"/>
      <c r="I17" s="7" t="n"/>
      <c r="J17" s="7" t="n"/>
      <c r="K17" s="7" t="n"/>
      <c r="L17" s="7" t="n"/>
      <c r="M17" s="7" t="n"/>
      <c r="N17" s="7" t="n"/>
      <c r="O17" s="7" t="n"/>
    </row>
    <row r="18" ht="46.2" customHeight="1" s="45">
      <c r="A18" s="8" t="n">
        <v>13</v>
      </c>
      <c r="B18" s="9" t="inlineStr">
        <is>
          <t>Motor</t>
        </is>
      </c>
      <c r="C18" s="9" t="inlineStr">
        <is>
          <t>BLDC ~150-190 KV, 6-12S, 3.5-4.5 kgf on an 18 in prop</t>
        </is>
      </c>
      <c r="D18" s="9" t="inlineStr">
        <is>
          <t>Bharath Components (Gurugram, IoTechWorld) / Mechtex (Faridabad) / Vector Technics</t>
        </is>
      </c>
      <c r="E18" s="10" t="inlineStr">
        <is>
          <t>I1</t>
        </is>
      </c>
      <c r="F18" s="11" t="n">
        <v>0.9</v>
      </c>
      <c r="G18" s="8" t="n">
        <v>4</v>
      </c>
      <c r="H18" s="12" t="n">
        <v>150</v>
      </c>
      <c r="I18" s="12">
        <f>G18*H18</f>
        <v/>
      </c>
      <c r="J18" s="13" t="n">
        <v>7000</v>
      </c>
      <c r="K18" s="13">
        <f>G18*J18</f>
        <v/>
      </c>
      <c r="L18" s="13">
        <f>K18*F18</f>
        <v/>
      </c>
      <c r="M18" s="8" t="inlineStr">
        <is>
          <t>3-4 wk</t>
        </is>
      </c>
      <c r="N18" s="9" t="inlineStr">
        <is>
          <t>Sizing §6: need 2.53 kgf/motor at T/W = 2. Bharath quotes 3-5 kg rotor load to 9 kgf; Mechtex custom-winds 1.5-30 kgf. Ask for a custom wind to hit the exact KV.</t>
        </is>
      </c>
      <c r="O18" s="9" t="inlineStr">
        <is>
          <t>Magnets and some bearings imported. Winding, stator, housing and assembly are Indian. Request a measured thrust/current curve with the quote.</t>
        </is>
      </c>
      <c r="P18" s="41" t="inlineStr">
        <is>
          <t>https://bharathcomponents.com/buy-bldc-motor/</t>
        </is>
      </c>
      <c r="Q18" s="42" t="inlineStr">
        <is>
          <t>150 KV variant confirmed in catalogue, inside the 150-190 KV spec. Spec sheet: iotechworld.co.in/150kv-bharath-drone-bldc-motor.htm. Subsidiary of IoTechWorld. PRICE NOT PUBLISHED - quote required.</t>
        </is>
      </c>
    </row>
    <row r="19" ht="23.85" customHeight="1" s="45">
      <c r="A19" s="8" t="n">
        <v>14</v>
      </c>
      <c r="B19" s="9" t="inlineStr">
        <is>
          <t>ESC</t>
        </is>
      </c>
      <c r="C19" s="9" t="inlineStr">
        <is>
          <t>6-12S, 60 A rated, DShot/PWM, telemetry out</t>
        </is>
      </c>
      <c r="D19" s="9" t="inlineStr">
        <is>
          <t>Flameback Tech (India)</t>
        </is>
      </c>
      <c r="E19" s="10" t="inlineStr">
        <is>
          <t>I1</t>
        </is>
      </c>
      <c r="F19" s="11" t="n">
        <v>0.8</v>
      </c>
      <c r="G19" s="8" t="n">
        <v>4</v>
      </c>
      <c r="H19" s="12" t="n">
        <v>48</v>
      </c>
      <c r="I19" s="12">
        <f>G19*H19</f>
        <v/>
      </c>
      <c r="J19" s="13" t="n">
        <v>3000</v>
      </c>
      <c r="K19" s="13">
        <f>G19*J19</f>
        <v/>
      </c>
      <c r="L19" s="13">
        <f>K19*F19</f>
        <v/>
      </c>
      <c r="M19" s="8" t="inlineStr">
        <is>
          <t>2-3 wk</t>
        </is>
      </c>
      <c r="N19" s="9" t="inlineStr">
        <is>
          <t>Sizing §6: 98 A pack peak = ~25 A per motor. Flameback ships a 6-12S 60 A unit — a direct match to the requirement.</t>
        </is>
      </c>
      <c r="O19" s="9" t="inlineStr">
        <is>
          <t>MOSFETs and the MCU are imported silicon; board design, firmware and manufacture are Indian.</t>
        </is>
      </c>
      <c r="P19" s="41" t="inlineStr">
        <is>
          <t>https://www.flamebacktech.com/esc</t>
        </is>
      </c>
      <c r="Q19" s="42" t="inlineStr">
        <is>
          <t>CAUTION: catalogue advertises 30-45 A. This line specifies 60 A. Confirm a 60 A part exists before ordering.</t>
        </is>
      </c>
    </row>
    <row r="20" ht="35.1" customHeight="1" s="45">
      <c r="A20" s="8" t="n">
        <v>15</v>
      </c>
      <c r="B20" s="9" t="inlineStr">
        <is>
          <t>Propeller pair</t>
        </is>
      </c>
      <c r="C20" s="9" t="inlineStr">
        <is>
          <t>18 x 6.1 in CF folding, CW + CCW, matched set</t>
        </is>
      </c>
      <c r="D20" s="9" t="inlineStr">
        <is>
          <t>S R Aerospace (CSIR-NAL certified) / Bharath Components</t>
        </is>
      </c>
      <c r="E20" s="10" t="inlineStr">
        <is>
          <t>I2</t>
        </is>
      </c>
      <c r="F20" s="11" t="n">
        <v>0.7</v>
      </c>
      <c r="G20" s="8" t="n">
        <v>2</v>
      </c>
      <c r="H20" s="12" t="n">
        <v>116</v>
      </c>
      <c r="I20" s="12">
        <f>G20*H20</f>
        <v/>
      </c>
      <c r="J20" s="13" t="n">
        <v>2200</v>
      </c>
      <c r="K20" s="13">
        <f>G20*J20</f>
        <v/>
      </c>
      <c r="L20" s="13">
        <f>K20*F20</f>
        <v/>
      </c>
      <c r="M20" s="8" t="inlineStr">
        <is>
          <t>3 wk</t>
        </is>
      </c>
      <c r="N20" s="9" t="inlineStr">
        <is>
          <t>Sizing §3: hover power scales as 1/D. 18 in is the largest most Indian 5008-class motors are rated for.</t>
        </is>
      </c>
      <c r="O20" s="9" t="inlineStr">
        <is>
          <t>CSIR-NAL certification is a genuine quality signal. Fibre imported; layup and moulding Indian.</t>
        </is>
      </c>
      <c r="P20" s="41" t="inlineStr">
        <is>
          <t>https://www.sraeros.com/drone-propeller.html</t>
        </is>
      </c>
      <c r="Q20" s="42" t="inlineStr">
        <is>
          <t>CSIR-NAL certification claim confirmed on site. 18 in folding variant NOT confirmed in catalogue - confirm size and folding hub.</t>
        </is>
      </c>
    </row>
    <row r="21" ht="23.85" customHeight="1" s="45">
      <c r="A21" s="8" t="n">
        <v>16</v>
      </c>
      <c r="B21" s="9" t="inlineStr">
        <is>
          <t>Prop adapter / folding hub</t>
        </is>
      </c>
      <c r="C21" s="9" t="inlineStr">
        <is>
          <t>Matched to the chosen motor shaft</t>
        </is>
      </c>
      <c r="D21" s="9" t="inlineStr">
        <is>
          <t>Supplied with motor / local machining</t>
        </is>
      </c>
      <c r="E21" s="10" t="inlineStr">
        <is>
          <t>I1</t>
        </is>
      </c>
      <c r="F21" s="11" t="n">
        <v>1</v>
      </c>
      <c r="G21" s="8" t="n">
        <v>4</v>
      </c>
      <c r="H21" s="12" t="n">
        <v>14</v>
      </c>
      <c r="I21" s="12">
        <f>G21*H21</f>
        <v/>
      </c>
      <c r="J21" s="13" t="n">
        <v>500</v>
      </c>
      <c r="K21" s="13">
        <f>G21*J21</f>
        <v/>
      </c>
      <c r="L21" s="13">
        <f>K21*F21</f>
        <v/>
      </c>
      <c r="M21" s="8" t="inlineStr">
        <is>
          <t>3 wk</t>
        </is>
      </c>
      <c r="N21" s="9" t="inlineStr">
        <is>
          <t>Confirm inclusion before ordering separately.</t>
        </is>
      </c>
      <c r="O21" s="9" t="inlineStr">
        <is>
          <t>—</t>
        </is>
      </c>
      <c r="P21" s="43" t="inlineStr">
        <is>
          <t>Local supply - quote at order, no catalogue part</t>
        </is>
      </c>
      <c r="Q21" s="42" t="inlineStr">
        <is>
          <t>Supplied with motor per col D - confirm inclusion at order.</t>
        </is>
      </c>
    </row>
    <row r="22" ht="15" customHeight="1" s="45">
      <c r="A22" s="6" t="inlineStr">
        <is>
          <t>POWER</t>
        </is>
      </c>
      <c r="B22" s="7" t="n"/>
      <c r="C22" s="7" t="n"/>
      <c r="D22" s="7" t="n"/>
      <c r="E22" s="7" t="n"/>
      <c r="F22" s="7" t="n"/>
      <c r="G22" s="7" t="n"/>
      <c r="H22" s="7" t="n"/>
      <c r="I22" s="7" t="n"/>
      <c r="J22" s="7" t="n"/>
      <c r="K22" s="7" t="n"/>
      <c r="L22" s="7" t="n"/>
      <c r="M22" s="7" t="n"/>
      <c r="N22" s="7" t="n"/>
      <c r="O22" s="7" t="n"/>
    </row>
    <row r="23" ht="68.7" customHeight="1" s="45">
      <c r="A23" s="8" t="n">
        <v>17</v>
      </c>
      <c r="B23" s="9" t="inlineStr">
        <is>
          <t>Li-ion cell</t>
        </is>
      </c>
      <c r="C23" s="9" t="inlineStr">
        <is>
          <t>21700 NMC, &gt;=4000 mAh, 40-45 A continuous — 18 off</t>
        </is>
      </c>
      <c r="D23" s="9" t="inlineStr">
        <is>
          <t>GODI India (Hyderabad, BIS-certified 21700 NMC)</t>
        </is>
      </c>
      <c r="E23" s="14" t="inlineStr">
        <is>
          <t>I3</t>
        </is>
      </c>
      <c r="F23" s="11" t="n">
        <v>0.4</v>
      </c>
      <c r="G23" s="8" t="n">
        <v>18</v>
      </c>
      <c r="H23" s="12" t="n">
        <v>70</v>
      </c>
      <c r="I23" s="12">
        <f>G23*H23</f>
        <v/>
      </c>
      <c r="J23" s="13" t="n">
        <v>700</v>
      </c>
      <c r="K23" s="13">
        <f>G23*J23</f>
        <v/>
      </c>
      <c r="L23" s="13">
        <f>K23*F23</f>
        <v/>
      </c>
      <c r="M23" s="8" t="inlineStr">
        <is>
          <t>4-6 wk</t>
        </is>
      </c>
      <c r="N23" s="9" t="inlineStr">
        <is>
          <t>Sizing §4: 6S3P = ~292 Wh, 13.5 Ah, 135 A burst vs a 98 A peak demand (38% margin).</t>
        </is>
      </c>
      <c r="O23" s="9" t="inlineStr">
        <is>
          <t>WEAKEST INDIGENISATION LINK. GODI makes BIS-certified 21700 NMC in India, but confirm a 40 A+ continuous drone-grade variant exists. If not, use an Indian-assembled pack with imported high-drain cells (tier I3) and say so openly — that is still the honest Indian best.</t>
        </is>
      </c>
      <c r="P23" s="41" t="inlineStr">
        <is>
          <t>https://evreporter.com/godi-receives-bis-certification-to-sell-li-ion-cells-in-india/</t>
        </is>
      </c>
      <c r="Q23" s="42" t="inlineStr">
        <is>
          <t>BIS certification for 21700 NMC811 confirmed. NO public product page and NO published price - direct quote required. Weakest indigenisation link per col O.</t>
        </is>
      </c>
    </row>
    <row r="24" ht="35.1" customHeight="1" s="45">
      <c r="A24" s="8" t="n">
        <v>18</v>
      </c>
      <c r="B24" s="9" t="inlineStr">
        <is>
          <t>Pack assembly</t>
        </is>
      </c>
      <c r="C24" s="9" t="inlineStr">
        <is>
          <t>6S3P spot-welded pack, holders, nickel, fish paper, wrap</t>
        </is>
      </c>
      <c r="D24" s="9" t="inlineStr">
        <is>
          <t>Revogreen Batteries / Lion Battery / Neuron Energy / CLN Energy</t>
        </is>
      </c>
      <c r="E24" s="10" t="inlineStr">
        <is>
          <t>I1</t>
        </is>
      </c>
      <c r="F24" s="11" t="n">
        <v>0.9</v>
      </c>
      <c r="G24" s="8" t="n">
        <v>1</v>
      </c>
      <c r="H24" s="12" t="n">
        <v>260</v>
      </c>
      <c r="I24" s="12">
        <f>G24*H24</f>
        <v/>
      </c>
      <c r="J24" s="13" t="n">
        <v>3500</v>
      </c>
      <c r="K24" s="13">
        <f>G24*J24</f>
        <v/>
      </c>
      <c r="L24" s="13">
        <f>K24*F24</f>
        <v/>
      </c>
      <c r="M24" s="8" t="inlineStr">
        <is>
          <t>2-3 wk</t>
        </is>
      </c>
      <c r="N24" s="9" t="inlineStr">
        <is>
          <t>Indian pack assembly is a mature, competitive industry — unlike Indian cell manufacture.</t>
        </is>
      </c>
      <c r="O24" s="9" t="inlineStr">
        <is>
          <t>Have them capacity- and IR-match every cell and give you the data.</t>
        </is>
      </c>
      <c r="P24" s="41" t="inlineStr">
        <is>
          <t>https://revogreenbatteries.com/pages/custom-batteries</t>
        </is>
      </c>
      <c r="Q24" s="42" t="inlineStr">
        <is>
          <t>Custom pack service confirmed (Pune). Alternate: lionbattery.in/lithium-battery-for-drones/</t>
        </is>
      </c>
    </row>
    <row r="25" ht="23.85" customHeight="1" s="45">
      <c r="A25" s="8" t="n">
        <v>19</v>
      </c>
      <c r="B25" s="9" t="inlineStr">
        <is>
          <t>BMS / balance board</t>
        </is>
      </c>
      <c r="C25" s="9" t="inlineStr">
        <is>
          <t>6S, per-cell taps, high-current discharge path</t>
        </is>
      </c>
      <c r="D25" s="9" t="inlineStr">
        <is>
          <t>Flameback Tech / Indian pack house</t>
        </is>
      </c>
      <c r="E25" s="10" t="inlineStr">
        <is>
          <t>I1</t>
        </is>
      </c>
      <c r="F25" s="11" t="n">
        <v>0.8</v>
      </c>
      <c r="G25" s="8" t="n">
        <v>1</v>
      </c>
      <c r="H25" s="12" t="n">
        <v>45</v>
      </c>
      <c r="I25" s="12">
        <f>G25*H25</f>
        <v/>
      </c>
      <c r="J25" s="13" t="n">
        <v>1600</v>
      </c>
      <c r="K25" s="13">
        <f>G25*J25</f>
        <v/>
      </c>
      <c r="L25" s="13">
        <f>K25*F25</f>
        <v/>
      </c>
      <c r="M25" s="8" t="inlineStr">
        <is>
          <t>2 wk</t>
        </is>
      </c>
      <c r="N25" s="9" t="inlineStr">
        <is>
          <t>Balance charging and per-cell monitoring for the GCS SoC display (rule C11).</t>
        </is>
      </c>
      <c r="O25" s="9" t="inlineStr">
        <is>
          <t>Protection ICs imported.</t>
        </is>
      </c>
      <c r="P25" s="41" t="inlineStr">
        <is>
          <t>https://www.flamebacktech.com/</t>
        </is>
      </c>
      <c r="Q25" s="42" t="inlineStr">
        <is>
          <t>BMS listed in product range; no dedicated 6S product page found.</t>
        </is>
      </c>
    </row>
    <row r="26" ht="23.85" customHeight="1" s="45">
      <c r="A26" s="8" t="n">
        <v>20</v>
      </c>
      <c r="B26" s="9" t="inlineStr">
        <is>
          <t>Power distribution board</t>
        </is>
      </c>
      <c r="C26" s="9" t="inlineStr">
        <is>
          <t>200 A continuous, 10 AWG pads</t>
        </is>
      </c>
      <c r="D26" s="9" t="inlineStr">
        <is>
          <t>Flameback Tech (India)</t>
        </is>
      </c>
      <c r="E26" s="10" t="inlineStr">
        <is>
          <t>I1</t>
        </is>
      </c>
      <c r="F26" s="11" t="n">
        <v>0.8</v>
      </c>
      <c r="G26" s="8" t="n">
        <v>1</v>
      </c>
      <c r="H26" s="12" t="n">
        <v>55</v>
      </c>
      <c r="I26" s="12">
        <f>G26*H26</f>
        <v/>
      </c>
      <c r="J26" s="13" t="n">
        <v>1800</v>
      </c>
      <c r="K26" s="13">
        <f>G26*J26</f>
        <v/>
      </c>
      <c r="L26" s="13">
        <f>K26*F26</f>
        <v/>
      </c>
      <c r="M26" s="8" t="inlineStr">
        <is>
          <t>2 wk</t>
        </is>
      </c>
      <c r="N26" s="9" t="inlineStr">
        <is>
          <t>Sizing §6: 98 A peak; 200 A rating gives thermal margin at 45 °C ambient.</t>
        </is>
      </c>
      <c r="O26" s="9" t="inlineStr">
        <is>
          <t>—</t>
        </is>
      </c>
      <c r="P26" s="41" t="inlineStr">
        <is>
          <t>https://www.flamebacktech.com/</t>
        </is>
      </c>
      <c r="Q26" s="42" t="inlineStr">
        <is>
          <t>PDB listed in product range; 200 A rating not confirmed on a product page.</t>
        </is>
      </c>
    </row>
    <row r="27" ht="23.85" customHeight="1" s="45">
      <c r="A27" s="8" t="n">
        <v>21</v>
      </c>
      <c r="B27" s="9" t="inlineStr">
        <is>
          <t>Power module / current sensor</t>
        </is>
      </c>
      <c r="C27" s="9" t="inlineStr">
        <is>
          <t>Hall-effect 100-200 A, 6-14S, with FC supply</t>
        </is>
      </c>
      <c r="D27" s="9" t="inlineStr">
        <is>
          <t>Bharath Components / Flameback Tech</t>
        </is>
      </c>
      <c r="E27" s="10" t="inlineStr">
        <is>
          <t>I1</t>
        </is>
      </c>
      <c r="F27" s="11" t="n">
        <v>0.8</v>
      </c>
      <c r="G27" s="8" t="n">
        <v>1</v>
      </c>
      <c r="H27" s="12" t="n">
        <v>45</v>
      </c>
      <c r="I27" s="12">
        <f>G27*H27</f>
        <v/>
      </c>
      <c r="J27" s="13" t="n">
        <v>2800</v>
      </c>
      <c r="K27" s="13">
        <f>G27*J27</f>
        <v/>
      </c>
      <c r="L27" s="13">
        <f>K27*F27</f>
        <v/>
      </c>
      <c r="M27" s="8" t="inlineStr">
        <is>
          <t>2-3 wk</t>
        </is>
      </c>
      <c r="N27" s="9" t="inlineStr">
        <is>
          <t>Drives the low-battery failsafe (rule C16) and the SoC display (rule C11).</t>
        </is>
      </c>
      <c r="O27" s="9" t="inlineStr">
        <is>
          <t>Hall sensor IC imported.</t>
        </is>
      </c>
      <c r="P27" s="41" t="inlineStr">
        <is>
          <t>https://www.flamebacktech.com/</t>
        </is>
      </c>
      <c r="Q27" s="42" t="inlineStr">
        <is>
          <t>Alternate: bharathcomponents.com. Rating not confirmed on a product page.</t>
        </is>
      </c>
    </row>
    <row r="28" ht="23.85" customHeight="1" s="45">
      <c r="A28" s="8" t="n">
        <v>22</v>
      </c>
      <c r="B28" s="9" t="inlineStr">
        <is>
          <t>BEC 5 V and 12 V</t>
        </is>
      </c>
      <c r="C28" s="9" t="inlineStr">
        <is>
          <t>5 V 5 A + 12 V 5 A switching, low noise</t>
        </is>
      </c>
      <c r="D28" s="9" t="inlineStr">
        <is>
          <t>Flameback Tech / Indian power-electronics house</t>
        </is>
      </c>
      <c r="E28" s="10" t="inlineStr">
        <is>
          <t>I1</t>
        </is>
      </c>
      <c r="F28" s="11" t="n">
        <v>0.8</v>
      </c>
      <c r="G28" s="8" t="n">
        <v>2</v>
      </c>
      <c r="H28" s="12" t="n">
        <v>31</v>
      </c>
      <c r="I28" s="12">
        <f>G28*H28</f>
        <v/>
      </c>
      <c r="J28" s="13" t="n">
        <v>1000</v>
      </c>
      <c r="K28" s="13">
        <f>G28*J28</f>
        <v/>
      </c>
      <c r="L28" s="13">
        <f>K28*F28</f>
        <v/>
      </c>
      <c r="M28" s="8" t="inlineStr">
        <is>
          <t>1-2 wk</t>
        </is>
      </c>
      <c r="N28" s="9" t="inlineStr">
        <is>
          <t>Separate rails so a compute brownout cannot take the flight controller down.</t>
        </is>
      </c>
      <c r="O28" s="9" t="inlineStr">
        <is>
          <t>Regulator ICs imported.</t>
        </is>
      </c>
      <c r="P28" s="41" t="inlineStr">
        <is>
          <t>https://www.flamebacktech.com/</t>
        </is>
      </c>
      <c r="Q28" s="42" t="inlineStr">
        <is>
          <t>Rating not confirmed on a product page.</t>
        </is>
      </c>
    </row>
    <row r="29" ht="23.85" customHeight="1" s="45">
      <c r="A29" s="8" t="n">
        <v>23</v>
      </c>
      <c r="B29" s="9" t="inlineStr">
        <is>
          <t>Silicone wire and lugs</t>
        </is>
      </c>
      <c r="C29" s="9" t="inlineStr">
        <is>
          <t>10 AWG mains 2 m, 14 AWG motor 6 m, 22-26 AWG signal</t>
        </is>
      </c>
      <c r="D29" s="9" t="inlineStr">
        <is>
          <t>Polycab / Finolex / RR Kabel</t>
        </is>
      </c>
      <c r="E29" s="10" t="inlineStr">
        <is>
          <t>I1</t>
        </is>
      </c>
      <c r="F29" s="11" t="n">
        <v>1</v>
      </c>
      <c r="G29" s="8" t="n">
        <v>1</v>
      </c>
      <c r="H29" s="12" t="n">
        <v>205</v>
      </c>
      <c r="I29" s="12">
        <f>G29*H29</f>
        <v/>
      </c>
      <c r="J29" s="13" t="n">
        <v>1200</v>
      </c>
      <c r="K29" s="13">
        <f>G29*J29</f>
        <v/>
      </c>
      <c r="L29" s="13">
        <f>K29*F29</f>
        <v/>
      </c>
      <c r="M29" s="8" t="inlineStr">
        <is>
          <t>1 wk</t>
        </is>
      </c>
      <c r="N29" s="9" t="inlineStr">
        <is>
          <t>Sizing §6: 98 A peak drives 10 AWG mains, 14 AWG motor leads.</t>
        </is>
      </c>
      <c r="O29" s="9" t="inlineStr">
        <is>
          <t>None. Indian cable manufacture is excellent.</t>
        </is>
      </c>
      <c r="P29" s="43" t="inlineStr">
        <is>
          <t>Local supply - quote at order, no catalogue part</t>
        </is>
      </c>
      <c r="Q29" s="42" t="inlineStr">
        <is>
          <t>Polycab / Finolex / RR Kabel named in col D; commodity, price at order.</t>
        </is>
      </c>
    </row>
    <row r="30" ht="35.1" customHeight="1" s="45">
      <c r="A30" s="8" t="n">
        <v>24</v>
      </c>
      <c r="B30" s="9" t="inlineStr">
        <is>
          <t>Connectors</t>
        </is>
      </c>
      <c r="C30" s="9" t="inlineStr">
        <is>
          <t>Anti-spark high-current main connector + JST-GH style signal sets</t>
        </is>
      </c>
      <c r="D30" s="9" t="inlineStr">
        <is>
          <t>Indian distributor; connector bodies imported</t>
        </is>
      </c>
      <c r="E30" s="15" t="inlineStr">
        <is>
          <t>I4</t>
        </is>
      </c>
      <c r="F30" s="11" t="n">
        <v>0.1</v>
      </c>
      <c r="G30" s="8" t="n">
        <v>1</v>
      </c>
      <c r="H30" s="12" t="n">
        <v>45</v>
      </c>
      <c r="I30" s="12">
        <f>G30*H30</f>
        <v/>
      </c>
      <c r="J30" s="13" t="n">
        <v>900</v>
      </c>
      <c r="K30" s="13">
        <f>G30*J30</f>
        <v/>
      </c>
      <c r="L30" s="13">
        <f>K30*F30</f>
        <v/>
      </c>
      <c r="M30" s="8" t="inlineStr">
        <is>
          <t>1-2 wk</t>
        </is>
      </c>
      <c r="N30" s="9" t="inlineStr">
        <is>
          <t>Anti-spark is mandatory at 292 Wh — a plain connector will arc and pit.</t>
        </is>
      </c>
      <c r="O30" s="9" t="inlineStr">
        <is>
          <t>NO INDIAN EQUIVALENT for XT90-S / JST-GH class connectors. Small value, unavoidable import. Buy through an Indian distributor.</t>
        </is>
      </c>
      <c r="P30" s="43" t="inlineStr">
        <is>
          <t>Local supply - quote at order, no catalogue part</t>
        </is>
      </c>
      <c r="Q30" s="42" t="inlineStr">
        <is>
          <t>XT90-S class. Col O already records NO INDIAN EQUIVALENT.</t>
        </is>
      </c>
    </row>
    <row r="31" ht="15" customHeight="1" s="45">
      <c r="A31" s="8" t="n">
        <v>25</v>
      </c>
      <c r="B31" s="9" t="inlineStr">
        <is>
          <t>Buzzer + LED</t>
        </is>
      </c>
      <c r="C31" s="9" t="inlineStr">
        <is>
          <t>Piezo + external RGB status LED</t>
        </is>
      </c>
      <c r="D31" s="9" t="inlineStr">
        <is>
          <t>Local electronics</t>
        </is>
      </c>
      <c r="E31" s="14" t="inlineStr">
        <is>
          <t>I3</t>
        </is>
      </c>
      <c r="F31" s="11" t="n">
        <v>0.5</v>
      </c>
      <c r="G31" s="8" t="n">
        <v>1</v>
      </c>
      <c r="H31" s="12" t="n">
        <v>12</v>
      </c>
      <c r="I31" s="12">
        <f>G31*H31</f>
        <v/>
      </c>
      <c r="J31" s="13" t="n">
        <v>250</v>
      </c>
      <c r="K31" s="13">
        <f>G31*J31</f>
        <v/>
      </c>
      <c r="L31" s="13">
        <f>K31*F31</f>
        <v/>
      </c>
      <c r="M31" s="8" t="inlineStr">
        <is>
          <t>1 wk</t>
        </is>
      </c>
      <c r="N31" s="9" t="inlineStr">
        <is>
          <t>Audible pre-arm and low-battery warning; visible state from 10 m.</t>
        </is>
      </c>
      <c r="O31" s="9" t="inlineStr">
        <is>
          <t>—</t>
        </is>
      </c>
      <c r="P31" s="43" t="inlineStr">
        <is>
          <t>Local supply - quote at order, no catalogue part</t>
        </is>
      </c>
      <c r="Q31" s="42" t="n"/>
    </row>
    <row r="32" ht="15" customHeight="1" s="45">
      <c r="A32" s="6" t="inlineStr">
        <is>
          <t>AVIONICS</t>
        </is>
      </c>
      <c r="B32" s="7" t="n"/>
      <c r="C32" s="7" t="n"/>
      <c r="D32" s="7" t="n"/>
      <c r="E32" s="7" t="n"/>
      <c r="F32" s="7" t="n"/>
      <c r="G32" s="7" t="n"/>
      <c r="H32" s="7" t="n"/>
      <c r="I32" s="7" t="n"/>
      <c r="J32" s="7" t="n"/>
      <c r="K32" s="7" t="n"/>
      <c r="L32" s="7" t="n"/>
      <c r="M32" s="7" t="n"/>
      <c r="N32" s="7" t="n"/>
      <c r="O32" s="7" t="n"/>
    </row>
    <row r="33" ht="68.7" customHeight="1" s="45">
      <c r="A33" s="8" t="n">
        <v>26</v>
      </c>
      <c r="B33" s="9" t="inlineStr">
        <is>
          <t>Flight controller</t>
        </is>
      </c>
      <c r="C33" s="9" t="inlineStr">
        <is>
          <t>Agam Autopilot V6X-RT — Made in India, multi-GNSS, redundant IMU, Ethernet to companion</t>
        </is>
      </c>
      <c r="D33" s="9" t="inlineStr">
        <is>
          <t>Agam Robotics (Bengaluru)</t>
        </is>
      </c>
      <c r="E33" s="10" t="inlineStr">
        <is>
          <t>I2</t>
        </is>
      </c>
      <c r="F33" s="11" t="n">
        <v>0.6</v>
      </c>
      <c r="G33" s="8" t="n">
        <v>1</v>
      </c>
      <c r="H33" s="12" t="n">
        <v>50</v>
      </c>
      <c r="I33" s="12">
        <f>G33*H33</f>
        <v/>
      </c>
      <c r="J33" s="13" t="n">
        <v>26000</v>
      </c>
      <c r="K33" s="13">
        <f>G33*J33</f>
        <v/>
      </c>
      <c r="L33" s="13">
        <f>K33*F33</f>
        <v/>
      </c>
      <c r="M33" s="8" t="inlineStr">
        <is>
          <t>3-4 wk</t>
        </is>
      </c>
      <c r="N33" s="9" t="inlineStr">
        <is>
          <t>Sizing §1: a proven autopilot handles stabilisation and failsafes; the companion handles autonomy. Ethernet to the companion is a real advantage over UART.</t>
        </is>
      </c>
      <c r="O33" s="9" t="inlineStr">
        <is>
          <t>NXP i.MXRT MCU imported; board design, firmware, secure element integration and manufacture are Indian. ALTERNATIVE: Zuppa NavGati (Chennai), which runs on C-DAC-developed PCBs and processors — higher indigenisation, less open-ecosystem tooling.</t>
        </is>
      </c>
      <c r="P33" s="41" t="inlineStr">
        <is>
          <t>https://www.agamrobotics.com/agamautopilotv6x-rt</t>
        </is>
      </c>
      <c r="Q33" s="42" t="inlineStr">
        <is>
          <t>CONFIRMED. FMUv6X-RT, NXP i.MXRT1176 dual-core - matches col N and col O exactly. Made in India, Bengaluru. Worldwide variant: agamrobotics.com/product-page/agam-autopilot-v6x-rt-worldwide</t>
        </is>
      </c>
    </row>
    <row r="34" ht="35.1" customHeight="1" s="45">
      <c r="A34" s="8" t="n">
        <v>27</v>
      </c>
      <c r="B34" s="9" t="inlineStr">
        <is>
          <t>VEGA co-processor board</t>
        </is>
      </c>
      <c r="C34" s="9" t="inlineStr">
        <is>
          <t>C-DAC VEGA RISC-V dev kit, used as the payload-release and failsafe watchdog controller</t>
        </is>
      </c>
      <c r="D34" s="9" t="inlineStr">
        <is>
          <t>C-DAC (MeitY) — 2 kits free to each top-100 team</t>
        </is>
      </c>
      <c r="E34" s="10" t="inlineStr">
        <is>
          <t>I1</t>
        </is>
      </c>
      <c r="F34" s="11" t="n">
        <v>1</v>
      </c>
      <c r="G34" s="8" t="n">
        <v>1</v>
      </c>
      <c r="H34" s="12" t="n">
        <v>60</v>
      </c>
      <c r="I34" s="12">
        <f>G34*H34</f>
        <v/>
      </c>
      <c r="J34" s="13" t="n">
        <v>0</v>
      </c>
      <c r="K34" s="13">
        <f>G34*J34</f>
        <v/>
      </c>
      <c r="L34" s="13">
        <f>K34*F34</f>
        <v/>
      </c>
      <c r="M34" s="8" t="inlineStr">
        <is>
          <t>via NIDAR</t>
        </is>
      </c>
      <c r="N34" s="9" t="inlineStr">
        <is>
          <t>INDIGENISATION DIFFERENTIATOR. Puts Indian silicon on the aircraft without risking the flight-critical path. Judges will notice.</t>
        </is>
      </c>
      <c r="O34" s="9" t="inlineStr">
        <is>
          <t>Fully indigenous. Scope it as a non-flight-critical subsystem with a hardware bypass.</t>
        </is>
      </c>
      <c r="P34" s="41" t="inlineStr">
        <is>
          <t>https://vegaprocessors.in/</t>
        </is>
      </c>
      <c r="Q34" s="42" t="inlineStr">
        <is>
          <t>C-DAC / MeitY DIR-V programme confirmed. SoC docs: cdac-vega.gitlab.io/socoverview/microprocessors.html. Free-kit route via NIDAR is an ASSUMPTION - confirm with organisers.</t>
        </is>
      </c>
    </row>
    <row r="35" ht="57.45" customHeight="1" s="45">
      <c r="A35" s="8" t="n">
        <v>28</v>
      </c>
      <c r="B35" s="9" t="inlineStr">
        <is>
          <t>GNSS primary</t>
        </is>
      </c>
      <c r="C35" s="9" t="inlineStr">
        <is>
          <t>AeroNav-series NavIC L1+L5 dual-band receiver with compass</t>
        </is>
      </c>
      <c r="D35" s="9" t="inlineStr">
        <is>
          <t>Teravolt Labs (India)</t>
        </is>
      </c>
      <c r="E35" s="10" t="inlineStr">
        <is>
          <t>I2</t>
        </is>
      </c>
      <c r="F35" s="11" t="n">
        <v>0.6</v>
      </c>
      <c r="G35" s="8" t="n">
        <v>1</v>
      </c>
      <c r="H35" s="12" t="n">
        <v>55</v>
      </c>
      <c r="I35" s="12">
        <f>G35*H35</f>
        <v/>
      </c>
      <c r="J35" s="13" t="n">
        <v>18000</v>
      </c>
      <c r="K35" s="13">
        <f>G35*J35</f>
        <v/>
      </c>
      <c r="L35" s="13">
        <f>K35*F35</f>
        <v/>
      </c>
      <c r="M35" s="8" t="inlineStr">
        <is>
          <t>3 wk</t>
        </is>
      </c>
      <c r="N35" s="9" t="inlineStr">
        <is>
          <t>Sizing §11: GNSS is the dominant geotag error term. NavIC adds satellites directly overhead and survives a GPS outage.</t>
        </is>
      </c>
      <c r="O35" s="9" t="inlineStr">
        <is>
          <t>ACTION: confirm RTK and moving-baseline heading support before Phase 1 closes. If Teravolt does not support it, evaluate Accord Software &amp; Systems (Bengaluru) or Elena Geo Systems. Sizing §11 shows RTK is worth ~1.4 m of geotag accuracy.</t>
        </is>
      </c>
      <c r="P35" s="41" t="inlineStr">
        <is>
          <t>https://www.teravolt.in/product-page/aeronav-1-dual-band-gnss</t>
        </is>
      </c>
      <c r="Q35" s="42" t="inlineStr">
        <is>
          <t>PARTIAL. NavIC L1+L5 and BMM350 magnetometer confirmed. RTK AND MOVING-BASELINE ARE NOT CLAIMED ON THE PRODUCT PAGE - this is the open action in col O and it gates geotag case C. ArduPilot driver: ardupilot.org/copter/docs/common-AeroNav-1.html. Company is Chandigarh, not as implied by col D.</t>
        </is>
      </c>
    </row>
    <row r="36" ht="35.1" customHeight="1" s="45">
      <c r="A36" s="8" t="n">
        <v>29</v>
      </c>
      <c r="B36" s="9" t="inlineStr">
        <is>
          <t>GNSS secondary (heading)</t>
        </is>
      </c>
      <c r="C36" s="9" t="inlineStr">
        <is>
          <t>Second receiver for moving-baseline yaw</t>
        </is>
      </c>
      <c r="D36" s="9" t="inlineStr">
        <is>
          <t>Teravolt Labs / Accord Software (Bengaluru)</t>
        </is>
      </c>
      <c r="E36" s="10" t="inlineStr">
        <is>
          <t>I2</t>
        </is>
      </c>
      <c r="F36" s="11" t="n">
        <v>0.6</v>
      </c>
      <c r="G36" s="8" t="n">
        <v>1</v>
      </c>
      <c r="H36" s="12" t="n">
        <v>50</v>
      </c>
      <c r="I36" s="12">
        <f>G36*H36</f>
        <v/>
      </c>
      <c r="J36" s="13" t="n">
        <v>17000</v>
      </c>
      <c r="K36" s="13">
        <f>G36*J36</f>
        <v/>
      </c>
      <c r="L36" s="13">
        <f>K36*F36</f>
        <v/>
      </c>
      <c r="M36" s="8" t="inlineStr">
        <is>
          <t>3 wk</t>
        </is>
      </c>
      <c r="N36" s="9" t="inlineStr">
        <is>
          <t>Sizing §11 case C: once RTK removes GNSS error, attitude leads. Dual-antenna heading removes magnetometer error near a 100 A bus.</t>
        </is>
      </c>
      <c r="O36" s="9" t="inlineStr">
        <is>
          <t>Same RTK confirmation action as above.</t>
        </is>
      </c>
      <c r="P36" s="41" t="inlineStr">
        <is>
          <t>https://www.teravolt.in/product-page/aeronav-1-dual-band-gnss</t>
        </is>
      </c>
      <c r="Q36" s="42" t="inlineStr">
        <is>
          <t>Same part and the same unconfirmed RTK/moving-baseline caveat as the primary.</t>
        </is>
      </c>
    </row>
    <row r="37" ht="23.85" customHeight="1" s="45">
      <c r="A37" s="8" t="n">
        <v>30</v>
      </c>
      <c r="B37" s="9" t="inlineStr">
        <is>
          <t>GNSS antenna</t>
        </is>
      </c>
      <c r="C37" s="9" t="inlineStr">
        <is>
          <t>Multi-band L1/L5 helical/patch with ground plane</t>
        </is>
      </c>
      <c r="D37" s="9" t="inlineStr">
        <is>
          <t>Supplied with the Indian receiver kits</t>
        </is>
      </c>
      <c r="E37" s="10" t="inlineStr">
        <is>
          <t>I2</t>
        </is>
      </c>
      <c r="F37" s="11" t="n">
        <v>0.6</v>
      </c>
      <c r="G37" s="8" t="n">
        <v>2</v>
      </c>
      <c r="H37" s="12" t="n">
        <v>35</v>
      </c>
      <c r="I37" s="12">
        <f>G37*H37</f>
        <v/>
      </c>
      <c r="J37" s="13" t="n">
        <v>3200</v>
      </c>
      <c r="K37" s="13">
        <f>G37*J37</f>
        <v/>
      </c>
      <c r="L37" s="13">
        <f>K37*F37</f>
        <v/>
      </c>
      <c r="M37" s="8" t="inlineStr">
        <is>
          <t>3 wk</t>
        </is>
      </c>
      <c r="N37" s="9" t="inlineStr">
        <is>
          <t>Mount &gt;=150 mm above the power bus and away from the compute module.</t>
        </is>
      </c>
      <c r="O37" s="9" t="inlineStr">
        <is>
          <t>—</t>
        </is>
      </c>
      <c r="P37" s="43" t="inlineStr">
        <is>
          <t>Local supply - quote at order, no catalogue part</t>
        </is>
      </c>
      <c r="Q37" s="42" t="inlineStr">
        <is>
          <t>Supplied with the receiver per col D - confirm inclusion.</t>
        </is>
      </c>
    </row>
    <row r="38" ht="23.85" customHeight="1" s="45">
      <c r="A38" s="8" t="n">
        <v>31</v>
      </c>
      <c r="B38" s="9" t="inlineStr">
        <is>
          <t>RC receiver</t>
        </is>
      </c>
      <c r="C38" s="9" t="inlineStr">
        <is>
          <t>ExpressLRS 2.4 GHz receiver, safety-pilot link</t>
        </is>
      </c>
      <c r="D38" s="9" t="inlineStr">
        <is>
          <t>Zerodrag (India)</t>
        </is>
      </c>
      <c r="E38" s="14" t="inlineStr">
        <is>
          <t>I3</t>
        </is>
      </c>
      <c r="F38" s="11" t="n">
        <v>0.5</v>
      </c>
      <c r="G38" s="8" t="n">
        <v>1</v>
      </c>
      <c r="H38" s="12" t="n">
        <v>12</v>
      </c>
      <c r="I38" s="12">
        <f>G38*H38</f>
        <v/>
      </c>
      <c r="J38" s="13" t="n">
        <v>2000</v>
      </c>
      <c r="K38" s="13">
        <f>G38*J38</f>
        <v/>
      </c>
      <c r="L38" s="13">
        <f>K38*F38</f>
        <v/>
      </c>
      <c r="M38" s="8" t="inlineStr">
        <is>
          <t>1 wk</t>
        </is>
      </c>
      <c r="N38" s="9" t="inlineStr">
        <is>
          <t>Not used in the scored mission. Present so a human can take control in an emergency — a range-safety requirement.</t>
        </is>
      </c>
      <c r="O38" s="9" t="inlineStr">
        <is>
          <t>ELRS silicon imported; Zerodrag manufactures in India.</t>
        </is>
      </c>
      <c r="P38" s="41" t="inlineStr">
        <is>
          <t>https://zerodrag.in/products/express-lrs-receiver</t>
        </is>
      </c>
      <c r="Q38" s="42" t="inlineStr">
        <is>
          <t>CONFIRMED. Nexus1 ELRS 2.4 GHz, diversity, made in India, 12-month warranty.</t>
        </is>
      </c>
    </row>
    <row r="39" ht="23.85" customHeight="1" s="45">
      <c r="A39" s="8" t="n">
        <v>32</v>
      </c>
      <c r="B39" s="9" t="inlineStr">
        <is>
          <t>Safety switch, LED, SD cards</t>
        </is>
      </c>
      <c r="C39" s="9" t="inlineStr">
        <is>
          <t>Arming interlock + 2 x 32 GB industrial microSD</t>
        </is>
      </c>
      <c r="D39" s="9" t="inlineStr">
        <is>
          <t>Indian distributor / Agam accessories</t>
        </is>
      </c>
      <c r="E39" s="14" t="inlineStr">
        <is>
          <t>I3</t>
        </is>
      </c>
      <c r="F39" s="11" t="n">
        <v>0.4</v>
      </c>
      <c r="G39" s="8" t="n">
        <v>1</v>
      </c>
      <c r="H39" s="12" t="n">
        <v>22</v>
      </c>
      <c r="I39" s="12">
        <f>G39*H39</f>
        <v/>
      </c>
      <c r="J39" s="13" t="n">
        <v>1400</v>
      </c>
      <c r="K39" s="13">
        <f>G39*J39</f>
        <v/>
      </c>
      <c r="L39" s="13">
        <f>K39*F39</f>
        <v/>
      </c>
      <c r="M39" s="8" t="inlineStr">
        <is>
          <t>1-2 wk</t>
        </is>
      </c>
      <c r="N39" s="9" t="inlineStr">
        <is>
          <t>Every flight must be logged (Development Plan §1.5).</t>
        </is>
      </c>
      <c r="O39" s="9" t="inlineStr">
        <is>
          <t>NAND flash has no Indian source.</t>
        </is>
      </c>
      <c r="P39" s="43" t="inlineStr">
        <is>
          <t>Local supply - quote at order, no catalogue part</t>
        </is>
      </c>
      <c r="Q39" s="42" t="n"/>
    </row>
    <row r="40" ht="15" customHeight="1" s="45">
      <c r="A40" s="6" t="inlineStr">
        <is>
          <t>COMPUTE AND PERCEPTION</t>
        </is>
      </c>
      <c r="B40" s="7" t="n"/>
      <c r="C40" s="7" t="n"/>
      <c r="D40" s="7" t="n"/>
      <c r="E40" s="7" t="n"/>
      <c r="F40" s="7" t="n"/>
      <c r="G40" s="7" t="n"/>
      <c r="H40" s="7" t="n"/>
      <c r="I40" s="7" t="n"/>
      <c r="J40" s="7" t="n"/>
      <c r="K40" s="7" t="n"/>
      <c r="L40" s="7" t="n"/>
      <c r="M40" s="7" t="n"/>
      <c r="N40" s="7" t="n"/>
      <c r="O40" s="7" t="n"/>
    </row>
    <row r="41" ht="79.8" customHeight="1" s="45">
      <c r="A41" s="8" t="n">
        <v>33</v>
      </c>
      <c r="B41" s="9" t="inlineStr">
        <is>
          <t>AI compute module</t>
        </is>
      </c>
      <c r="C41" s="9" t="inlineStr">
        <is>
          <t>Orin Nano-class module, &gt;=20 TOPS, on an Indian carrier</t>
        </is>
      </c>
      <c r="D41" s="9" t="inlineStr">
        <is>
          <t>Imported SoM on a VVDN / Syrma SGS / e-con built carrier; Indian enclosure and thermal design</t>
        </is>
      </c>
      <c r="E41" s="15" t="inlineStr">
        <is>
          <t>I4</t>
        </is>
      </c>
      <c r="F41" s="11" t="n">
        <v>0.25</v>
      </c>
      <c r="G41" s="8" t="n">
        <v>1</v>
      </c>
      <c r="H41" s="12" t="n">
        <v>200</v>
      </c>
      <c r="I41" s="12">
        <f>G41*H41</f>
        <v/>
      </c>
      <c r="J41" s="13" t="n">
        <v>38000</v>
      </c>
      <c r="K41" s="13">
        <f>G41*J41</f>
        <v/>
      </c>
      <c r="L41" s="13">
        <f>K41*F41</f>
        <v/>
      </c>
      <c r="M41" s="8" t="inlineStr">
        <is>
          <t>4-8 wk</t>
        </is>
      </c>
      <c r="N41" s="9" t="inlineStr">
        <is>
          <t>Sizing S8.2: tiled inference at 2 Hz needs ~24 inferences/s at 640x640, which S8.2 sizes on an Orin Nano. Buy the module the model assumes, on an Indian carrier -- not an integrated edge-AI box priced for a class the mission does not use. QUOTE REQUIRED.</t>
        </is>
      </c>
      <c r="O41" s="9" t="inlineStr">
        <is>
          <t>NO INDIAN GPU/NPU EXISTS AT THIS CLASS. This is the one genuinely irreducible import. Mitigation: Indian-designed carrier board, Indian enclosure and thermal design, Indian camera, and a model trained on Indian field data. Declare it plainly in the technical report rather than hiding it — evaluators respect an honest gap analysis more than a vague claim.</t>
        </is>
      </c>
      <c r="P41" s="41" t="inlineStr">
        <is>
          <t>https://www.nvidia.com/en-us/autonomous-machines/embedded-systems/jetson-orin/nano-super-developer-kit/</t>
        </is>
      </c>
      <c r="Q41" s="42" t="inlineStr">
        <is>
          <t>Orin Nano Super, 67 TOPS - clears the &gt;=20 TOPS spec. Indian resellers: fabtolab.com, roboticsdna.in, tannatechbiz.com. NOTE: the linked SKU is the DEV KIT; this line buys a module on an Indian carrier, which is a different part and a different price. VVDN/Syrma SGS carrier per col D NOT confirmed.</t>
        </is>
      </c>
    </row>
    <row r="42" ht="15" customHeight="1" s="45">
      <c r="A42" s="8" t="n">
        <v>34</v>
      </c>
      <c r="B42" s="9" t="inlineStr">
        <is>
          <t>Storage</t>
        </is>
      </c>
      <c r="C42" s="9" t="inlineStr">
        <is>
          <t>256 GB M.2 NVMe</t>
        </is>
      </c>
      <c r="D42" s="9" t="inlineStr">
        <is>
          <t>Indian distributor</t>
        </is>
      </c>
      <c r="E42" s="15" t="inlineStr">
        <is>
          <t>I4</t>
        </is>
      </c>
      <c r="F42" s="11" t="n">
        <v>0.1</v>
      </c>
      <c r="G42" s="8" t="n">
        <v>1</v>
      </c>
      <c r="H42" s="12" t="n">
        <v>10</v>
      </c>
      <c r="I42" s="12">
        <f>G42*H42</f>
        <v/>
      </c>
      <c r="J42" s="13" t="n">
        <v>2800</v>
      </c>
      <c r="K42" s="13">
        <f>G42*J42</f>
        <v/>
      </c>
      <c r="L42" s="13">
        <f>K42*F42</f>
        <v/>
      </c>
      <c r="M42" s="8" t="inlineStr">
        <is>
          <t>1 wk</t>
        </is>
      </c>
      <c r="N42" s="9" t="inlineStr">
        <is>
          <t>Onboard raw-imagery recording feeds the Phase 7 dataset.</t>
        </is>
      </c>
      <c r="O42" s="9" t="inlineStr">
        <is>
          <t>No Indian NAND or controller.</t>
        </is>
      </c>
      <c r="P42" s="43" t="inlineStr">
        <is>
          <t>Local supply - quote at order, no catalogue part</t>
        </is>
      </c>
      <c r="Q42" s="42" t="n"/>
    </row>
    <row r="43" ht="57.45" customHeight="1" s="45">
      <c r="A43" s="8" t="n">
        <v>35</v>
      </c>
      <c r="B43" s="9" t="inlineStr">
        <is>
          <t>Camera module</t>
        </is>
      </c>
      <c r="C43" s="9" t="inlineStr">
        <is>
          <t>12 MP MIPI CSI-2 module, S-mount, rolling or global shutter; STURDeCAM / e-CAM class</t>
        </is>
      </c>
      <c r="D43" s="9" t="inlineStr">
        <is>
          <t>e-con Systems (Chennai)</t>
        </is>
      </c>
      <c r="E43" s="10" t="inlineStr">
        <is>
          <t>I2</t>
        </is>
      </c>
      <c r="F43" s="11" t="n">
        <v>0.6</v>
      </c>
      <c r="G43" s="8" t="n">
        <v>1</v>
      </c>
      <c r="H43" s="12" t="n">
        <v>80</v>
      </c>
      <c r="I43" s="12">
        <f>G43*H43</f>
        <v/>
      </c>
      <c r="J43" s="13" t="n">
        <v>14000</v>
      </c>
      <c r="K43" s="13">
        <f>G43*J43</f>
        <v/>
      </c>
      <c r="L43" s="13">
        <f>K43*F43</f>
        <v/>
      </c>
      <c r="M43" s="8" t="inlineStr">
        <is>
          <t>3-4 wk</t>
        </is>
      </c>
      <c r="N43" s="9" t="inlineStr">
        <is>
          <t>Sizing §8: at 60 m AGL a 12 MP sensor with ~63° HFOV gives 1.82 cm/px and a 93 px person across a 74 m swath.</t>
        </is>
      </c>
      <c r="O43" s="9" t="inlineStr">
        <is>
          <t>World-class Indian embedded-vision house — 20+ years, 2 M+ cameras shipped. Sensor die (Sony/onsemi) imported; module design, ISP tuning, lens calibration and manufacture are Indian. Ask them to ISP-tune for high-altitude nadir daylight.</t>
        </is>
      </c>
      <c r="P43" s="41" t="inlineStr">
        <is>
          <t>https://www.e-consystems.com/nvidia-cameras/jetson-orin-nx-cameras/12mp-sony-starvis-imx412-ultra-low-light-camera.asp</t>
        </is>
      </c>
      <c r="Q43" s="42" t="inlineStr">
        <is>
          <t>e-CAM121_CUONX, 12 MP IMX412, MIPI CSI-2, Orin Nano compatible. S-MOUNT NOT CONFIRMED on this module - if optics are fixed, line 36 (lens) is void. Confirm before ordering both.</t>
        </is>
      </c>
    </row>
    <row r="44" ht="23.85" customHeight="1" s="45">
      <c r="A44" s="8" t="n">
        <v>36</v>
      </c>
      <c r="B44" s="9" t="inlineStr">
        <is>
          <t>Lens</t>
        </is>
      </c>
      <c r="C44" s="9" t="inlineStr">
        <is>
          <t>6 mm S/CS-mount, low distortion, IR-cut</t>
        </is>
      </c>
      <c r="D44" s="9" t="inlineStr">
        <is>
          <t>e-con Systems / Indian optics house</t>
        </is>
      </c>
      <c r="E44" s="10" t="inlineStr">
        <is>
          <t>I2</t>
        </is>
      </c>
      <c r="F44" s="11" t="n">
        <v>0.5</v>
      </c>
      <c r="G44" s="8" t="n">
        <v>1</v>
      </c>
      <c r="H44" s="12" t="n">
        <v>25</v>
      </c>
      <c r="I44" s="12">
        <f>G44*H44</f>
        <v/>
      </c>
      <c r="J44" s="13" t="n">
        <v>2600</v>
      </c>
      <c r="K44" s="13">
        <f>G44*J44</f>
        <v/>
      </c>
      <c r="L44" s="13">
        <f>K44*F44</f>
        <v/>
      </c>
      <c r="M44" s="8" t="inlineStr">
        <is>
          <t>3 wk</t>
        </is>
      </c>
      <c r="N44" s="9" t="inlineStr">
        <is>
          <t>f = 6 mm sets HFOV ~63°. Verify by calibration — datasheet FOV figures are routinely optimistic.</t>
        </is>
      </c>
      <c r="O44" s="9" t="inlineStr">
        <is>
          <t>Optical glass largely imported.</t>
        </is>
      </c>
      <c r="P44" s="43" t="inlineStr">
        <is>
          <t>Local supply - quote at order, no catalogue part</t>
        </is>
      </c>
      <c r="Q44" s="42" t="inlineStr">
        <is>
          <t>See line 35 note - buying this lens assumes the camera is S-mount, which is unconfirmed.</t>
        </is>
      </c>
    </row>
    <row r="45" ht="23.85" customHeight="1" s="45">
      <c r="A45" s="8" t="n">
        <v>37</v>
      </c>
      <c r="B45" s="9" t="inlineStr">
        <is>
          <t>Camera mount</t>
        </is>
      </c>
      <c r="C45" s="9" t="inlineStr">
        <is>
          <t>Rigid nadir mount, silicone isolated, boresight-adjustable then locked</t>
        </is>
      </c>
      <c r="D45" s="9" t="inlineStr">
        <is>
          <t>In-house</t>
        </is>
      </c>
      <c r="E45" s="10" t="inlineStr">
        <is>
          <t>I1</t>
        </is>
      </c>
      <c r="F45" s="11" t="n">
        <v>1</v>
      </c>
      <c r="G45" s="8" t="n">
        <v>1</v>
      </c>
      <c r="H45" s="12" t="n">
        <v>45</v>
      </c>
      <c r="I45" s="12">
        <f>G45*H45</f>
        <v/>
      </c>
      <c r="J45" s="13" t="n">
        <v>1200</v>
      </c>
      <c r="K45" s="13">
        <f>G45*J45</f>
        <v/>
      </c>
      <c r="L45" s="13">
        <f>K45*F45</f>
        <v/>
      </c>
      <c r="M45" s="8" t="inlineStr">
        <is>
          <t>1 wk</t>
        </is>
      </c>
      <c r="N45" s="9" t="inlineStr">
        <is>
          <t>Sizing §11: boresight residual is SYSTEMATIC error that frame averaging cannot remove.</t>
        </is>
      </c>
      <c r="O45" s="9" t="inlineStr">
        <is>
          <t>—</t>
        </is>
      </c>
      <c r="P45" s="43" t="inlineStr">
        <is>
          <t>In-house / fabricated to drawing - no catalogue part</t>
        </is>
      </c>
      <c r="Q45" s="42" t="n"/>
    </row>
    <row r="46" ht="23.85" customHeight="1" s="45">
      <c r="A46" s="8" t="n">
        <v>38</v>
      </c>
      <c r="B46" s="9" t="inlineStr">
        <is>
          <t>Cabling and cooling</t>
        </is>
      </c>
      <c r="C46" s="9" t="inlineStr">
        <is>
          <t>CSI ribbon, UART/Ethernet to FC, heatsink</t>
        </is>
      </c>
      <c r="D46" s="9" t="inlineStr">
        <is>
          <t>e-con / local + Indian heatsink extruder</t>
        </is>
      </c>
      <c r="E46" s="14" t="inlineStr">
        <is>
          <t>I3</t>
        </is>
      </c>
      <c r="F46" s="11" t="n">
        <v>0.4</v>
      </c>
      <c r="G46" s="8" t="n">
        <v>1</v>
      </c>
      <c r="H46" s="12" t="n">
        <v>100</v>
      </c>
      <c r="I46" s="12">
        <f>G46*H46</f>
        <v/>
      </c>
      <c r="J46" s="13" t="n">
        <v>3500</v>
      </c>
      <c r="K46" s="13">
        <f>G46*J46</f>
        <v/>
      </c>
      <c r="L46" s="13">
        <f>K46*F46</f>
        <v/>
      </c>
      <c r="M46" s="8" t="inlineStr">
        <is>
          <t>2 wk</t>
        </is>
      </c>
      <c r="N46" s="9" t="inlineStr">
        <is>
          <t>Keep CSI runs shielded and away from ESC leads.</t>
        </is>
      </c>
      <c r="O46" s="9" t="inlineStr">
        <is>
          <t>—</t>
        </is>
      </c>
      <c r="P46" s="43" t="inlineStr">
        <is>
          <t>Local supply - quote at order, no catalogue part</t>
        </is>
      </c>
      <c r="Q46" s="42" t="n"/>
    </row>
    <row r="47" ht="15" customHeight="1" s="45">
      <c r="A47" s="6" t="inlineStr">
        <is>
          <t>COMMUNICATIONS</t>
        </is>
      </c>
      <c r="B47" s="7" t="n"/>
      <c r="C47" s="7" t="n"/>
      <c r="D47" s="7" t="n"/>
      <c r="E47" s="7" t="n"/>
      <c r="F47" s="7" t="n"/>
      <c r="G47" s="7" t="n"/>
      <c r="H47" s="7" t="n"/>
      <c r="I47" s="7" t="n"/>
      <c r="J47" s="7" t="n"/>
      <c r="K47" s="7" t="n"/>
      <c r="L47" s="7" t="n"/>
      <c r="M47" s="7" t="n"/>
      <c r="N47" s="7" t="n"/>
      <c r="O47" s="7" t="n"/>
    </row>
    <row r="48" ht="46.2" customHeight="1" s="45">
      <c r="A48" s="8" t="n">
        <v>39</v>
      </c>
      <c r="B48" s="9" t="inlineStr">
        <is>
          <t>Mesh node</t>
        </is>
      </c>
      <c r="C48" s="9" t="inlineStr">
        <is>
          <t>2.4/5.8 GHz 802.11 mesh node running batman-adv, Indian carrier + firmware</t>
        </is>
      </c>
      <c r="D48" s="9" t="inlineStr">
        <is>
          <t>FxUAV Technologies (Burla, Odisha) / Indian SBC house</t>
        </is>
      </c>
      <c r="E48" s="14" t="inlineStr">
        <is>
          <t>I3</t>
        </is>
      </c>
      <c r="F48" s="11" t="n">
        <v>0.4</v>
      </c>
      <c r="G48" s="8" t="n">
        <v>1</v>
      </c>
      <c r="H48" s="12" t="n">
        <v>45</v>
      </c>
      <c r="I48" s="12">
        <f>G48*H48</f>
        <v/>
      </c>
      <c r="J48" s="13" t="n">
        <v>9000</v>
      </c>
      <c r="K48" s="13">
        <f>G48*J48</f>
        <v/>
      </c>
      <c r="L48" s="13">
        <f>K48*F48</f>
        <v/>
      </c>
      <c r="M48" s="8" t="inlineStr">
        <is>
          <t>3-4 wk</t>
        </is>
      </c>
      <c r="N48" s="9" t="inlineStr">
        <is>
          <t>Sizing §12: offered load 2.5 Mbps against &gt;=26 Mbps at MCS3, 13.7 dB margin at 600 m.</t>
        </is>
      </c>
      <c r="O48" s="9" t="inlineStr">
        <is>
          <t>Wi-Fi chipsets have no Indian source. FxUAV builds indigenous RF datalinks specifically to reduce this dependency — engage them early and ask what they can supply against this spec.</t>
        </is>
      </c>
      <c r="P48" s="41" t="inlineStr">
        <is>
          <t>https://www.fxuav.com/</t>
        </is>
      </c>
      <c r="Q48" s="42" t="inlineStr">
        <is>
          <t>DOES NOT MATCH. FxUAV's mesh module is advertised at 928 MHz and FxLink is 2.4 GHz point-to-point telemetry. This line specifies an 802.11s mesh at 2.4/5.8 GHz. No FxUAV product found that satisfies it. RESELECT OR REQUOTE.</t>
        </is>
      </c>
    </row>
    <row r="49" ht="23.85" customHeight="1" s="45">
      <c r="A49" s="8" t="n">
        <v>40</v>
      </c>
      <c r="B49" s="9" t="inlineStr">
        <is>
          <t>5.8 GHz antennas</t>
        </is>
      </c>
      <c r="C49" s="9" t="inlineStr">
        <is>
          <t>3 dBi dipole, 5.15-5.9 GHz, RP-SMA, with pigtails</t>
        </is>
      </c>
      <c r="D49" s="9" t="inlineStr">
        <is>
          <t>Indian RF antenna maker (e.g. Wireless Instruments / local)</t>
        </is>
      </c>
      <c r="E49" s="10" t="inlineStr">
        <is>
          <t>I2</t>
        </is>
      </c>
      <c r="F49" s="11" t="n">
        <v>0.6</v>
      </c>
      <c r="G49" s="8" t="n">
        <v>2</v>
      </c>
      <c r="H49" s="12" t="n">
        <v>22</v>
      </c>
      <c r="I49" s="12">
        <f>G49*H49</f>
        <v/>
      </c>
      <c r="J49" s="13" t="n">
        <v>700</v>
      </c>
      <c r="K49" s="13">
        <f>G49*J49</f>
        <v/>
      </c>
      <c r="L49" s="13">
        <f>K49*F49</f>
        <v/>
      </c>
      <c r="M49" s="8" t="inlineStr">
        <is>
          <t>2 wk</t>
        </is>
      </c>
      <c r="N49" s="9" t="inlineStr">
        <is>
          <t>Sizing §12: 24 dBm + 3 dBi = 27 dBm EIRP, legal in the Indian 5.825-5.875 GHz drone allocation.</t>
        </is>
      </c>
      <c r="O49" s="9" t="inlineStr">
        <is>
          <t>Antenna manufacture is well within Indian capability.</t>
        </is>
      </c>
      <c r="P49" s="43" t="inlineStr">
        <is>
          <t>Local supply - quote at order, no catalogue part</t>
        </is>
      </c>
      <c r="Q49" s="42" t="n"/>
    </row>
    <row r="50" ht="35.1" customHeight="1" s="45">
      <c r="A50" s="8" t="n">
        <v>41</v>
      </c>
      <c r="B50" s="9" t="inlineStr">
        <is>
          <t>Sub-GHz safety radio</t>
        </is>
      </c>
      <c r="C50" s="9" t="inlineStr">
        <is>
          <t>865-867 MHz (Indian delicensed SRD band) telemetry, abort and recall link</t>
        </is>
      </c>
      <c r="D50" s="9" t="inlineStr">
        <is>
          <t>FxUAV Technologies / Indian LoRa module house</t>
        </is>
      </c>
      <c r="E50" s="14" t="inlineStr">
        <is>
          <t>I3</t>
        </is>
      </c>
      <c r="F50" s="11" t="n">
        <v>0.4</v>
      </c>
      <c r="G50" s="8" t="n">
        <v>1</v>
      </c>
      <c r="H50" s="12" t="n">
        <v>30</v>
      </c>
      <c r="I50" s="12">
        <f>G50*H50</f>
        <v/>
      </c>
      <c r="J50" s="13" t="n">
        <v>7500</v>
      </c>
      <c r="K50" s="13">
        <f>G50*J50</f>
        <v/>
      </c>
      <c r="L50" s="13">
        <f>K50*F50</f>
        <v/>
      </c>
      <c r="M50" s="8" t="inlineStr">
        <is>
          <t>3 wk</t>
        </is>
      </c>
      <c r="N50" s="9" t="inlineStr">
        <is>
          <t>Sizing §12: 53 dB margin at 600 m. Abort and recall (rule C16) live here because this is the link that does not fail.</t>
        </is>
      </c>
      <c r="O50" s="9" t="inlineStr">
        <is>
          <t>SX126x-class transceiver imported; module, firmware and integration Indian. Confirm ETA for the 865-867 MHz band.</t>
        </is>
      </c>
      <c r="P50" s="41" t="inlineStr">
        <is>
          <t>https://www.fxuav.com/</t>
        </is>
      </c>
      <c r="Q50" s="42" t="inlineStr">
        <is>
          <t>DOES NOT MATCH. FxUAV's sub-GHz mesh is 928 MHz; this line specifies 865-867 MHz, the Indian delicensed SRD band. 928 MHz is outside it. No FxUAV product found that satisfies this line. RESELECT OR REQUOTE.</t>
        </is>
      </c>
    </row>
    <row r="51" ht="15" customHeight="1" s="45">
      <c r="A51" s="8" t="n">
        <v>42</v>
      </c>
      <c r="B51" s="9" t="inlineStr">
        <is>
          <t>868 MHz antenna</t>
        </is>
      </c>
      <c r="C51" s="9" t="inlineStr">
        <is>
          <t>2 dBi dipole, RP-SMA</t>
        </is>
      </c>
      <c r="D51" s="9" t="inlineStr">
        <is>
          <t>Indian RF antenna maker</t>
        </is>
      </c>
      <c r="E51" s="10" t="inlineStr">
        <is>
          <t>I2</t>
        </is>
      </c>
      <c r="F51" s="11" t="n">
        <v>0.6</v>
      </c>
      <c r="G51" s="8" t="n">
        <v>1</v>
      </c>
      <c r="H51" s="12" t="n">
        <v>20</v>
      </c>
      <c r="I51" s="12">
        <f>G51*H51</f>
        <v/>
      </c>
      <c r="J51" s="13" t="n">
        <v>600</v>
      </c>
      <c r="K51" s="13">
        <f>G51*J51</f>
        <v/>
      </c>
      <c r="L51" s="13">
        <f>K51*F51</f>
        <v/>
      </c>
      <c r="M51" s="8" t="inlineStr">
        <is>
          <t>2 wk</t>
        </is>
      </c>
      <c r="N51" s="9" t="inlineStr">
        <is>
          <t>Mount orthogonally to the 5.8 GHz antennas to reduce coupling.</t>
        </is>
      </c>
      <c r="O51" s="9" t="inlineStr">
        <is>
          <t>—</t>
        </is>
      </c>
      <c r="P51" s="43" t="inlineStr">
        <is>
          <t>Local supply - quote at order, no catalogue part</t>
        </is>
      </c>
      <c r="Q51" s="42" t="n"/>
    </row>
    <row r="52" ht="15" customHeight="1" s="45">
      <c r="A52" s="6" t="inlineStr">
        <is>
          <t>PAYLOAD SYSTEM</t>
        </is>
      </c>
      <c r="B52" s="7" t="n"/>
      <c r="C52" s="7" t="n"/>
      <c r="D52" s="7" t="n"/>
      <c r="E52" s="7" t="n"/>
      <c r="F52" s="7" t="n"/>
      <c r="G52" s="7" t="n"/>
      <c r="H52" s="7" t="n"/>
      <c r="I52" s="7" t="n"/>
      <c r="J52" s="7" t="n"/>
      <c r="K52" s="7" t="n"/>
      <c r="L52" s="7" t="n"/>
      <c r="M52" s="7" t="n"/>
      <c r="N52" s="7" t="n"/>
      <c r="O52" s="7" t="n"/>
    </row>
    <row r="53" ht="23.85" customHeight="1" s="45">
      <c r="A53" s="8" t="n">
        <v>43</v>
      </c>
      <c r="B53" s="9" t="inlineStr">
        <is>
          <t>Release servo</t>
        </is>
      </c>
      <c r="C53" s="9" t="inlineStr">
        <is>
          <t>Metal-gear digital micro servo, ~2.5 kg·cm</t>
        </is>
      </c>
      <c r="D53" s="9" t="inlineStr">
        <is>
          <t>Indian servo supplier / Zerodrag</t>
        </is>
      </c>
      <c r="E53" s="14" t="inlineStr">
        <is>
          <t>I3</t>
        </is>
      </c>
      <c r="F53" s="11" t="n">
        <v>0.4</v>
      </c>
      <c r="G53" s="8" t="n">
        <v>4</v>
      </c>
      <c r="H53" s="12" t="n">
        <v>14</v>
      </c>
      <c r="I53" s="12">
        <f>G53*H53</f>
        <v/>
      </c>
      <c r="J53" s="13" t="n">
        <v>700</v>
      </c>
      <c r="K53" s="13">
        <f>G53*J53</f>
        <v/>
      </c>
      <c r="L53" s="13">
        <f>K53*F53</f>
        <v/>
      </c>
      <c r="M53" s="8" t="inlineStr">
        <is>
          <t>1-2 wk</t>
        </is>
      </c>
      <c r="N53" s="9" t="inlineStr">
        <is>
          <t>One per magazine station; release gated on 6 m AGL and &lt;0.3 m/s groundspeed.</t>
        </is>
      </c>
      <c r="O53" s="9" t="inlineStr">
        <is>
          <t>Servo motors and ICs imported; some Indian assembly available.</t>
        </is>
      </c>
      <c r="P53" s="43" t="inlineStr">
        <is>
          <t>Local supply - quote at order, no catalogue part</t>
        </is>
      </c>
      <c r="Q53" s="42" t="n"/>
    </row>
    <row r="54" ht="23.85" customHeight="1" s="45">
      <c r="A54" s="8" t="n">
        <v>44</v>
      </c>
      <c r="B54" s="9" t="inlineStr">
        <is>
          <t>Magazine housing</t>
        </is>
      </c>
      <c r="C54" s="9" t="inlineStr">
        <is>
          <t>Printed PETG rails, 4 stations at 200 x 100 x 50 mm</t>
        </is>
      </c>
      <c r="D54" s="9" t="inlineStr">
        <is>
          <t>In-house</t>
        </is>
      </c>
      <c r="E54" s="10" t="inlineStr">
        <is>
          <t>I1</t>
        </is>
      </c>
      <c r="F54" s="11" t="n">
        <v>1</v>
      </c>
      <c r="G54" s="8" t="n">
        <v>1</v>
      </c>
      <c r="H54" s="12" t="n">
        <v>120</v>
      </c>
      <c r="I54" s="12">
        <f>G54*H54</f>
        <v/>
      </c>
      <c r="J54" s="13" t="n">
        <v>800</v>
      </c>
      <c r="K54" s="13">
        <f>G54*J54</f>
        <v/>
      </c>
      <c r="L54" s="13">
        <f>K54*F54</f>
        <v/>
      </c>
      <c r="M54" s="8" t="inlineStr">
        <is>
          <t>1 wk</t>
        </is>
      </c>
      <c r="N54" s="9" t="inlineStr">
        <is>
          <t>Sizing §13: mount on the CG axis. Releasing 200 g at 50 mm offset shifts CG 2 mm — a STEP input to the attitude loop.</t>
        </is>
      </c>
      <c r="O54" s="9" t="inlineStr">
        <is>
          <t>—</t>
        </is>
      </c>
      <c r="P54" s="43" t="inlineStr">
        <is>
          <t>In-house / fabricated to drawing - no catalogue part</t>
        </is>
      </c>
      <c r="Q54" s="42" t="n"/>
    </row>
    <row r="55" ht="23.85" customHeight="1" s="45">
      <c r="A55" s="8" t="n">
        <v>45</v>
      </c>
      <c r="B55" s="9" t="inlineStr">
        <is>
          <t>Positive-lock detent</t>
        </is>
      </c>
      <c r="C55" s="9" t="inlineStr">
        <is>
          <t>Spring detent + mechanical catch, independent of servo power</t>
        </is>
      </c>
      <c r="D55" s="9" t="inlineStr">
        <is>
          <t>In-house + Indian spring maker</t>
        </is>
      </c>
      <c r="E55" s="10" t="inlineStr">
        <is>
          <t>I1</t>
        </is>
      </c>
      <c r="F55" s="11" t="n">
        <v>1</v>
      </c>
      <c r="G55" s="8" t="n">
        <v>4</v>
      </c>
      <c r="H55" s="12" t="n">
        <v>9</v>
      </c>
      <c r="I55" s="12">
        <f>G55*H55</f>
        <v/>
      </c>
      <c r="J55" s="13" t="n">
        <v>250</v>
      </c>
      <c r="K55" s="13">
        <f>G55*J55</f>
        <v/>
      </c>
      <c r="L55" s="13">
        <f>K55*F55</f>
        <v/>
      </c>
      <c r="M55" s="8" t="inlineStr">
        <is>
          <t>1 wk</t>
        </is>
      </c>
      <c r="N55" s="9" t="inlineStr">
        <is>
          <t>CRITICAL SAFETY ITEM. A brownout or servo failure must not release a kit.</t>
        </is>
      </c>
      <c r="O55" s="9" t="inlineStr">
        <is>
          <t>None.</t>
        </is>
      </c>
      <c r="P55" s="43" t="inlineStr">
        <is>
          <t>In-house / fabricated to drawing - no catalogue part</t>
        </is>
      </c>
      <c r="Q55" s="42" t="n"/>
    </row>
    <row r="56" ht="23.85" customHeight="1" s="45">
      <c r="A56" s="8" t="n">
        <v>46</v>
      </c>
      <c r="B56" s="9" t="inlineStr">
        <is>
          <t>Release confirmation switch</t>
        </is>
      </c>
      <c r="C56" s="9" t="inlineStr">
        <is>
          <t>Micro lever switch per station</t>
        </is>
      </c>
      <c r="D56" s="9" t="inlineStr">
        <is>
          <t>Indian electronics distributor</t>
        </is>
      </c>
      <c r="E56" s="14" t="inlineStr">
        <is>
          <t>I3</t>
        </is>
      </c>
      <c r="F56" s="11" t="n">
        <v>0.3</v>
      </c>
      <c r="G56" s="8" t="n">
        <v>4</v>
      </c>
      <c r="H56" s="12" t="n">
        <v>4</v>
      </c>
      <c r="I56" s="12">
        <f>G56*H56</f>
        <v/>
      </c>
      <c r="J56" s="13" t="n">
        <v>150</v>
      </c>
      <c r="K56" s="13">
        <f>G56*J56</f>
        <v/>
      </c>
      <c r="L56" s="13">
        <f>K56*F56</f>
        <v/>
      </c>
      <c r="M56" s="8" t="inlineStr">
        <is>
          <t>1 wk</t>
        </is>
      </c>
      <c r="N56" s="9" t="inlineStr">
        <is>
          <t>Feeds per-drone delivery status to the GCS, which rule C11 requires displayed.</t>
        </is>
      </c>
      <c r="O56" s="9" t="inlineStr">
        <is>
          <t>—</t>
        </is>
      </c>
      <c r="P56" s="43" t="inlineStr">
        <is>
          <t>Local supply - quote at order, no catalogue part</t>
        </is>
      </c>
      <c r="Q56" s="42" t="n"/>
    </row>
    <row r="57" ht="15" customHeight="1" s="45">
      <c r="A57" s="8" t="n">
        <v>47</v>
      </c>
      <c r="B57" s="9" t="inlineStr">
        <is>
          <t>Servo harness</t>
        </is>
      </c>
      <c r="C57" s="9" t="inlineStr">
        <is>
          <t>4-channel PWM from FC AUX</t>
        </is>
      </c>
      <c r="D57" s="9" t="inlineStr">
        <is>
          <t>Local</t>
        </is>
      </c>
      <c r="E57" s="10" t="inlineStr">
        <is>
          <t>I1</t>
        </is>
      </c>
      <c r="F57" s="11" t="n">
        <v>1</v>
      </c>
      <c r="G57" s="8" t="n">
        <v>1</v>
      </c>
      <c r="H57" s="12" t="n">
        <v>15</v>
      </c>
      <c r="I57" s="12">
        <f>G57*H57</f>
        <v/>
      </c>
      <c r="J57" s="13" t="n">
        <v>200</v>
      </c>
      <c r="K57" s="13">
        <f>G57*J57</f>
        <v/>
      </c>
      <c r="L57" s="13">
        <f>K57*F57</f>
        <v/>
      </c>
      <c r="M57" s="8" t="inlineStr">
        <is>
          <t>1 wk</t>
        </is>
      </c>
      <c r="N57" s="9" t="inlineStr">
        <is>
          <t>Routed through the FC so the arming state gates release.</t>
        </is>
      </c>
      <c r="O57" s="9" t="inlineStr">
        <is>
          <t>—</t>
        </is>
      </c>
      <c r="P57" s="43" t="inlineStr">
        <is>
          <t>In-house / fabricated to drawing - no catalogue part</t>
        </is>
      </c>
      <c r="Q57" s="42" t="n"/>
    </row>
    <row r="58" ht="15" customHeight="1" s="45">
      <c r="A58" t="inlineStr">
        <is>
          <t>SAFETY</t>
        </is>
      </c>
    </row>
    <row r="59" ht="72" customHeight="1" s="45">
      <c r="A59" t="n">
        <v>48</v>
      </c>
      <c r="B59" t="inlineStr">
        <is>
          <t>Recovery parachute</t>
        </is>
      </c>
      <c r="C59" t="inlineStr">
        <is>
          <t>Ballistic/CO2 or spring-deployed canopy sized for 6 kg AUW, &lt;20 m deployment altitude</t>
        </is>
      </c>
      <c r="D59" t="inlineStr">
        <is>
          <t>Indian UAV-parachute supplier (TBD)</t>
        </is>
      </c>
      <c r="E59" t="inlineStr">
        <is>
          <t>I2</t>
        </is>
      </c>
      <c r="F59" t="n">
        <v>0.6</v>
      </c>
      <c r="G59" t="n">
        <v>1</v>
      </c>
      <c r="H59" t="n">
        <v>240</v>
      </c>
      <c r="I59">
        <f>G59*H59</f>
        <v/>
      </c>
      <c r="J59" t="n">
        <v>12000</v>
      </c>
      <c r="K59">
        <f>G59*J59</f>
        <v/>
      </c>
      <c r="L59">
        <f>K59*F59</f>
        <v/>
      </c>
      <c r="M59" t="inlineStr">
        <is>
          <t>3-4 wk</t>
        </is>
      </c>
      <c r="N59" t="inlineStr">
        <is>
          <t>SYS-41. Organisers confirmed a recovery parachute is permitted, ballistic/CO2 included. A crash costs -50; landing outside the pad costs -10, so deploying is worth ~40 points even accepting the penalty. Armed above 20 m, inhibited below (it cannot inflate lower).</t>
        </is>
      </c>
      <c r="O59" t="inlineStr">
        <is>
          <t>Canopy fabric and the gas cartridge are likely imported.</t>
        </is>
      </c>
      <c r="P59" s="41" t="inlineStr">
        <is>
          <t>https://fruitychutes.com/uav_rpv_drone_recovery_parachutes</t>
        </is>
      </c>
      <c r="Q59" s="42" t="inlineStr">
        <is>
          <t>NO INDIAN SUPPLIER FOUND - col D already says TBD and it stays TBD. Nearest match is IMPORTED: Fruity Chutes Harrier, spring-launched (compatible with the no-blast ruling), RATED TO 6.2 kg AGAINST A 6.36 kg MTOW - one size undersized. Indig. 0.6 in col F is unsupported if this is imported.</t>
        </is>
      </c>
    </row>
    <row r="60">
      <c r="A60" t="n">
        <v>49</v>
      </c>
      <c r="B60" t="inlineStr">
        <is>
          <t>Parachute mount + bridle</t>
        </is>
      </c>
      <c r="C60" t="inlineStr">
        <is>
          <t>Top-centre mount, Kevlar bridle to the frame centre plate, clear deployment cone</t>
        </is>
      </c>
      <c r="D60" t="inlineStr">
        <is>
          <t>In-house + local machining</t>
        </is>
      </c>
      <c r="E60" t="inlineStr">
        <is>
          <t>I1</t>
        </is>
      </c>
      <c r="F60" t="n">
        <v>1</v>
      </c>
      <c r="G60" t="n">
        <v>1</v>
      </c>
      <c r="H60" t="n">
        <v>60</v>
      </c>
      <c r="I60">
        <f>G60*H60</f>
        <v/>
      </c>
      <c r="J60" t="n">
        <v>1500</v>
      </c>
      <c r="K60">
        <f>G60*J60</f>
        <v/>
      </c>
      <c r="L60">
        <f>K60*F60</f>
        <v/>
      </c>
      <c r="M60" t="inlineStr">
        <is>
          <t>1 wk</t>
        </is>
      </c>
      <c r="N60" t="inlineStr">
        <is>
          <t>Must be designed into the frame, not retrofitted: a bolted-on mount fouls a prop or fires into an arm. Top-centre, clear deployment cone. See frame-design-constraints.md item 5.</t>
        </is>
      </c>
      <c r="O60" t="inlineStr">
        <is>
          <t>None.</t>
        </is>
      </c>
      <c r="P60" s="43" t="inlineStr">
        <is>
          <t>In-house / fabricated to drawing - no catalogue part</t>
        </is>
      </c>
      <c r="Q60" s="42" t="n"/>
    </row>
    <row r="61">
      <c r="B61" s="47" t="inlineStr">
        <is>
          <t>TOTAL</t>
        </is>
      </c>
      <c r="F61" s="17">
        <f>L61/K61</f>
        <v/>
      </c>
      <c r="I61" s="18">
        <f>SUM(I5:I60)</f>
        <v/>
      </c>
      <c r="K61" s="19">
        <f>SUM(K5:K60)</f>
        <v/>
      </c>
      <c r="L61" s="19">
        <f>SUM(L5:L60)</f>
        <v/>
      </c>
    </row>
  </sheetData>
  <hyperlinks>
    <hyperlink xmlns:r="http://schemas.openxmlformats.org/officeDocument/2006/relationships" ref="P5" r:id="rId1"/>
    <hyperlink xmlns:r="http://schemas.openxmlformats.org/officeDocument/2006/relationships" ref="P6" r:id="rId2"/>
    <hyperlink xmlns:r="http://schemas.openxmlformats.org/officeDocument/2006/relationships" ref="P8" r:id="rId3"/>
    <hyperlink xmlns:r="http://schemas.openxmlformats.org/officeDocument/2006/relationships" ref="P9" r:id="rId4"/>
    <hyperlink xmlns:r="http://schemas.openxmlformats.org/officeDocument/2006/relationships" ref="P18" r:id="rId5"/>
    <hyperlink xmlns:r="http://schemas.openxmlformats.org/officeDocument/2006/relationships" ref="P19" r:id="rId6"/>
    <hyperlink xmlns:r="http://schemas.openxmlformats.org/officeDocument/2006/relationships" ref="P20" r:id="rId7"/>
    <hyperlink xmlns:r="http://schemas.openxmlformats.org/officeDocument/2006/relationships" ref="P23" r:id="rId8"/>
    <hyperlink xmlns:r="http://schemas.openxmlformats.org/officeDocument/2006/relationships" ref="P24" r:id="rId9"/>
    <hyperlink xmlns:r="http://schemas.openxmlformats.org/officeDocument/2006/relationships" ref="P25" r:id="rId10"/>
    <hyperlink xmlns:r="http://schemas.openxmlformats.org/officeDocument/2006/relationships" ref="P26" r:id="rId11"/>
    <hyperlink xmlns:r="http://schemas.openxmlformats.org/officeDocument/2006/relationships" ref="P27" r:id="rId12"/>
    <hyperlink xmlns:r="http://schemas.openxmlformats.org/officeDocument/2006/relationships" ref="P28" r:id="rId13"/>
    <hyperlink xmlns:r="http://schemas.openxmlformats.org/officeDocument/2006/relationships" ref="P33" r:id="rId14"/>
    <hyperlink xmlns:r="http://schemas.openxmlformats.org/officeDocument/2006/relationships" ref="P34" r:id="rId15"/>
    <hyperlink xmlns:r="http://schemas.openxmlformats.org/officeDocument/2006/relationships" ref="P35" r:id="rId16"/>
    <hyperlink xmlns:r="http://schemas.openxmlformats.org/officeDocument/2006/relationships" ref="P36" r:id="rId17"/>
    <hyperlink xmlns:r="http://schemas.openxmlformats.org/officeDocument/2006/relationships" ref="P38" r:id="rId18"/>
    <hyperlink xmlns:r="http://schemas.openxmlformats.org/officeDocument/2006/relationships" ref="P41" r:id="rId19"/>
    <hyperlink xmlns:r="http://schemas.openxmlformats.org/officeDocument/2006/relationships" ref="P43" r:id="rId20"/>
    <hyperlink xmlns:r="http://schemas.openxmlformats.org/officeDocument/2006/relationships" ref="P48" r:id="rId21"/>
    <hyperlink xmlns:r="http://schemas.openxmlformats.org/officeDocument/2006/relationships" ref="P50" r:id="rId22"/>
    <hyperlink xmlns:r="http://schemas.openxmlformats.org/officeDocument/2006/relationships" ref="P59" r:id="rId23"/>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15"/>
  <sheetViews>
    <sheetView zoomScaleNormal="100" workbookViewId="0">
      <pane ySplit="3" topLeftCell="A4" activePane="bottomLeft" state="frozen"/>
      <selection pane="bottomLeft" activeCell="A1" sqref="A1"/>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s>
  <sheetData>
    <row r="1" ht="17.4" customHeight="1" s="45">
      <c r="A1" s="1" t="inlineStr">
        <is>
          <t>02 — PAYLOAD, KITS AND GROUND-TRUTH TARGETS (fleet quantities)</t>
        </is>
      </c>
    </row>
    <row r="2" ht="15" customHeight="1" s="45">
      <c r="A2" s="2" t="inlineStr">
        <is>
          <t>Near-100% indigenous — this whole category is local fabrication and consumables.</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row>
    <row r="4" ht="15" customHeight="1" s="45">
      <c r="A4" s="6" t="inlineStr">
        <is>
          <t>SURVIVOR KITS — rule C6: exactly 200 g, 200 x 100 x 50 mm rigid box</t>
        </is>
      </c>
      <c r="B4" s="7" t="n"/>
      <c r="C4" s="7" t="n"/>
      <c r="D4" s="7" t="n"/>
      <c r="E4" s="7" t="n"/>
      <c r="F4" s="7" t="n"/>
      <c r="G4" s="7" t="n"/>
      <c r="H4" s="7" t="n"/>
      <c r="I4" s="7" t="n"/>
      <c r="J4" s="7" t="n"/>
      <c r="K4" s="7" t="n"/>
      <c r="L4" s="7" t="n"/>
      <c r="M4" s="7" t="n"/>
      <c r="N4" s="7" t="n"/>
      <c r="O4" s="7" t="n"/>
    </row>
    <row r="5" ht="23.85" customHeight="1" s="45">
      <c r="A5" s="8" t="n">
        <v>1</v>
      </c>
      <c r="B5" s="9" t="inlineStr">
        <is>
          <t>Kit outer box</t>
        </is>
      </c>
      <c r="C5" s="9" t="inlineStr">
        <is>
          <t>Rigid ABS / corrugated PP, hi-vis orange, sealed</t>
        </is>
      </c>
      <c r="D5" s="9" t="inlineStr">
        <is>
          <t>Local injection moulder / packaging fabricator</t>
        </is>
      </c>
      <c r="E5" s="10" t="inlineStr">
        <is>
          <t>I1</t>
        </is>
      </c>
      <c r="F5" s="11" t="n">
        <v>1</v>
      </c>
      <c r="G5" s="8" t="n">
        <v>14</v>
      </c>
      <c r="H5" s="12" t="n">
        <v>55</v>
      </c>
      <c r="I5" s="12">
        <f>G5*H5</f>
        <v/>
      </c>
      <c r="J5" s="13" t="n">
        <v>150</v>
      </c>
      <c r="K5" s="13">
        <f>G5*J5</f>
        <v/>
      </c>
      <c r="L5" s="13">
        <f>K5*F5</f>
        <v/>
      </c>
      <c r="M5" s="8" t="inlineStr">
        <is>
          <t>2 wk</t>
        </is>
      </c>
      <c r="N5" s="9" t="inlineStr">
        <is>
          <t>Rule C6 fixes dimensions. 14 built for 12 flown plus 2 spares. Sizing §10: must survive 9.7 m/s impact.</t>
        </is>
      </c>
      <c r="O5" s="9" t="inlineStr">
        <is>
          <t>None. Indian moulding capacity is deep and cheap.</t>
        </is>
      </c>
    </row>
    <row r="6" ht="15" customHeight="1" s="45">
      <c r="A6" s="8" t="n">
        <v>2</v>
      </c>
      <c r="B6" s="9" t="inlineStr">
        <is>
          <t>Impact padding</t>
        </is>
      </c>
      <c r="C6" s="9" t="inlineStr">
        <is>
          <t>Closed-cell EVA foam liner, 8 mm</t>
        </is>
      </c>
      <c r="D6" s="9" t="inlineStr">
        <is>
          <t>Local foam converter</t>
        </is>
      </c>
      <c r="E6" s="10" t="inlineStr">
        <is>
          <t>I1</t>
        </is>
      </c>
      <c r="F6" s="11" t="n">
        <v>1</v>
      </c>
      <c r="G6" s="8" t="n">
        <v>14</v>
      </c>
      <c r="H6" s="12" t="n">
        <v>18</v>
      </c>
      <c r="I6" s="12">
        <f>G6*H6</f>
        <v/>
      </c>
      <c r="J6" s="13" t="n">
        <v>50</v>
      </c>
      <c r="K6" s="13">
        <f>G6*J6</f>
        <v/>
      </c>
      <c r="L6" s="13">
        <f>K6*F6</f>
        <v/>
      </c>
      <c r="M6" s="8" t="inlineStr">
        <is>
          <t>1 wk</t>
        </is>
      </c>
      <c r="N6" s="9" t="inlineStr">
        <is>
          <t>Sizing §10: 9.7 m/s impact from a 6 m release.</t>
        </is>
      </c>
      <c r="O6" s="9" t="inlineStr">
        <is>
          <t>—</t>
        </is>
      </c>
    </row>
    <row r="7" ht="23.85" customHeight="1" s="45">
      <c r="A7" s="8" t="n">
        <v>3</v>
      </c>
      <c r="B7" s="9" t="inlineStr">
        <is>
          <t>Kit contents</t>
        </is>
      </c>
      <c r="C7" s="9" t="inlineStr">
        <is>
          <t>Bandage, ORS sachets, whistle, glow stick, emergency blanket, water pouch</t>
        </is>
      </c>
      <c r="D7" s="9" t="inlineStr">
        <is>
          <t>Indian pharmacy / local (ORS is an Indian staple product)</t>
        </is>
      </c>
      <c r="E7" s="10" t="inlineStr">
        <is>
          <t>I1</t>
        </is>
      </c>
      <c r="F7" s="11" t="n">
        <v>1</v>
      </c>
      <c r="G7" s="8" t="n">
        <v>14</v>
      </c>
      <c r="H7" s="12" t="n">
        <v>110</v>
      </c>
      <c r="I7" s="12">
        <f>G7*H7</f>
        <v/>
      </c>
      <c r="J7" s="13" t="n">
        <v>180</v>
      </c>
      <c r="K7" s="13">
        <f>G7*J7</f>
        <v/>
      </c>
      <c r="L7" s="13">
        <f>K7*F7</f>
        <v/>
      </c>
      <c r="M7" s="8" t="inlineStr">
        <is>
          <t>1 wk</t>
        </is>
      </c>
      <c r="N7" s="9" t="inlineStr">
        <is>
          <t>Contents plus box plus padding must total exactly 200.0 g. Weigh and record every kit.</t>
        </is>
      </c>
      <c r="O7" s="9" t="inlineStr">
        <is>
          <t>None.</t>
        </is>
      </c>
    </row>
    <row r="8" ht="23.85" customHeight="1" s="45">
      <c r="A8" s="8" t="n">
        <v>4</v>
      </c>
      <c r="B8" s="9" t="inlineStr">
        <is>
          <t>Trim ballast</t>
        </is>
      </c>
      <c r="C8" s="9" t="inlineStr">
        <is>
          <t>Steel shot in a sealed sachet to bring each kit to 200.0 g</t>
        </is>
      </c>
      <c r="D8" s="9" t="inlineStr">
        <is>
          <t>Local</t>
        </is>
      </c>
      <c r="E8" s="10" t="inlineStr">
        <is>
          <t>I1</t>
        </is>
      </c>
      <c r="F8" s="11" t="n">
        <v>1</v>
      </c>
      <c r="G8" s="8" t="n">
        <v>14</v>
      </c>
      <c r="H8" s="12" t="n">
        <v>17</v>
      </c>
      <c r="I8" s="12">
        <f>G8*H8</f>
        <v/>
      </c>
      <c r="J8" s="13" t="n">
        <v>20</v>
      </c>
      <c r="K8" s="13">
        <f>G8*J8</f>
        <v/>
      </c>
      <c r="L8" s="13">
        <f>K8*F8</f>
        <v/>
      </c>
      <c r="M8" s="8" t="inlineStr">
        <is>
          <t>1 wk</t>
        </is>
      </c>
      <c r="N8" s="9" t="inlineStr">
        <is>
          <t>Rule C6 is exact. Use a 0.1 g scale.</t>
        </is>
      </c>
      <c r="O8" s="9" t="inlineStr">
        <is>
          <t>—</t>
        </is>
      </c>
    </row>
    <row r="9" ht="23.85" customHeight="1" s="45">
      <c r="A9" s="8" t="n">
        <v>5</v>
      </c>
      <c r="B9" s="9" t="inlineStr">
        <is>
          <t>Test dummy kits</t>
        </is>
      </c>
      <c r="C9" s="9" t="inlineStr">
        <is>
          <t>Ballast-only boxes, same mass and dimensions</t>
        </is>
      </c>
      <c r="D9" s="9" t="inlineStr">
        <is>
          <t>In-house</t>
        </is>
      </c>
      <c r="E9" s="10" t="inlineStr">
        <is>
          <t>I1</t>
        </is>
      </c>
      <c r="F9" s="11" t="n">
        <v>1</v>
      </c>
      <c r="G9" s="8" t="n">
        <v>24</v>
      </c>
      <c r="H9" s="12" t="n">
        <v>200</v>
      </c>
      <c r="I9" s="12">
        <f>G9*H9</f>
        <v/>
      </c>
      <c r="J9" s="13" t="n">
        <v>120</v>
      </c>
      <c r="K9" s="13">
        <f>G9*J9</f>
        <v/>
      </c>
      <c r="L9" s="13">
        <f>K9*F9</f>
        <v/>
      </c>
      <c r="M9" s="8" t="inlineStr">
        <is>
          <t>1 wk</t>
        </is>
      </c>
      <c r="N9" s="9" t="inlineStr">
        <is>
          <t>Development Plan P8 needs &gt;=30 instrumented drops. Do not consume real kits in testing.</t>
        </is>
      </c>
      <c r="O9" s="9" t="inlineStr">
        <is>
          <t>—</t>
        </is>
      </c>
    </row>
    <row r="10" ht="15" customHeight="1" s="45">
      <c r="A10" s="6" t="inlineStr">
        <is>
          <t>GROUND-TRUTH TARGETS for the P7 detection and P8 delivery campaigns</t>
        </is>
      </c>
      <c r="B10" s="7" t="n"/>
      <c r="C10" s="7" t="n"/>
      <c r="D10" s="7" t="n"/>
      <c r="E10" s="7" t="n"/>
      <c r="F10" s="7" t="n"/>
      <c r="G10" s="7" t="n"/>
      <c r="H10" s="7" t="n"/>
      <c r="I10" s="7" t="n"/>
      <c r="J10" s="7" t="n"/>
      <c r="K10" s="7" t="n"/>
      <c r="L10" s="7" t="n"/>
      <c r="M10" s="7" t="n"/>
      <c r="N10" s="7" t="n"/>
      <c r="O10" s="7" t="n"/>
    </row>
    <row r="11" ht="46.2" customHeight="1" s="45">
      <c r="A11" s="8" t="n">
        <v>6</v>
      </c>
      <c r="B11" s="9" t="inlineStr">
        <is>
          <t>Survivor mannequin</t>
        </is>
      </c>
      <c r="C11" s="9" t="inlineStr">
        <is>
          <t>Human-size, articulable to supine/prone/seated, weather-tolerant</t>
        </is>
      </c>
      <c r="D11" s="9" t="inlineStr">
        <is>
          <t>Local mannequin / fibreglass fabricator</t>
        </is>
      </c>
      <c r="E11" s="10" t="inlineStr">
        <is>
          <t>I1</t>
        </is>
      </c>
      <c r="F11" s="11" t="n">
        <v>1</v>
      </c>
      <c r="G11" s="8" t="n">
        <v>6</v>
      </c>
      <c r="H11" s="12" t="n">
        <v>4000</v>
      </c>
      <c r="I11" s="12">
        <f>G11*H11</f>
        <v/>
      </c>
      <c r="J11" s="13" t="n">
        <v>3000</v>
      </c>
      <c r="K11" s="13">
        <f>G11*J11</f>
        <v/>
      </c>
      <c r="L11" s="13">
        <f>K11*F11</f>
        <v/>
      </c>
      <c r="M11" s="8" t="inlineStr">
        <is>
          <t>3 wk</t>
        </is>
      </c>
      <c r="N11" s="9" t="inlineStr">
        <is>
          <t>Development Plan P7: SAR targets are ~0.1% of frame area in atypical postures. Train and test against the same.</t>
        </is>
      </c>
      <c r="O11" s="9" t="inlineStr">
        <is>
          <t>IMPORTANT: dress them in clothing typical of an Indian flood-affected population, not Western SAR-dataset clothing. That distribution shift is exactly what HERIDAL/SARD will not teach your model.</t>
        </is>
      </c>
    </row>
    <row r="12" ht="23.85" customHeight="1" s="45">
      <c r="A12" s="8" t="n">
        <v>7</v>
      </c>
      <c r="B12" s="9" t="inlineStr">
        <is>
          <t>Target clothing sets</t>
        </is>
      </c>
      <c r="C12" s="9" t="inlineStr">
        <is>
          <t>Varied contrast, including low-contrast earth tones and saris/kurtas</t>
        </is>
      </c>
      <c r="D12" s="9" t="inlineStr">
        <is>
          <t>Local</t>
        </is>
      </c>
      <c r="E12" s="10" t="inlineStr">
        <is>
          <t>I1</t>
        </is>
      </c>
      <c r="F12" s="11" t="n">
        <v>1</v>
      </c>
      <c r="G12" s="8" t="n">
        <v>6</v>
      </c>
      <c r="H12" s="12" t="n">
        <v>400</v>
      </c>
      <c r="I12" s="12">
        <f>G12*H12</f>
        <v/>
      </c>
      <c r="J12" s="13" t="n">
        <v>500</v>
      </c>
      <c r="K12" s="13">
        <f>G12*J12</f>
        <v/>
      </c>
      <c r="L12" s="13">
        <f>K12*F12</f>
        <v/>
      </c>
      <c r="M12" s="8" t="inlineStr">
        <is>
          <t>1 wk</t>
        </is>
      </c>
      <c r="N12" s="9" t="inlineStr">
        <is>
          <t>Prevents the model learning "bright clothing" as the detection cue.</t>
        </is>
      </c>
      <c r="O12" s="9" t="inlineStr">
        <is>
          <t>—</t>
        </is>
      </c>
    </row>
    <row r="13" ht="23.85" customHeight="1" s="45">
      <c r="A13" s="8" t="n">
        <v>8</v>
      </c>
      <c r="B13" s="9" t="inlineStr">
        <is>
          <t>Drop-zone target mat</t>
        </is>
      </c>
      <c r="C13" s="9" t="inlineStr">
        <is>
          <t>5 m concentric-ring mat with a surveyed centre</t>
        </is>
      </c>
      <c r="D13" s="9" t="inlineStr">
        <is>
          <t>Local fabricator</t>
        </is>
      </c>
      <c r="E13" s="10" t="inlineStr">
        <is>
          <t>I1</t>
        </is>
      </c>
      <c r="F13" s="11" t="n">
        <v>1</v>
      </c>
      <c r="G13" s="8" t="n">
        <v>3</v>
      </c>
      <c r="H13" s="12" t="n">
        <v>2500</v>
      </c>
      <c r="I13" s="12">
        <f>G13*H13</f>
        <v/>
      </c>
      <c r="J13" s="13" t="n">
        <v>2200</v>
      </c>
      <c r="K13" s="13">
        <f>G13*J13</f>
        <v/>
      </c>
      <c r="L13" s="13">
        <f>K13*F13</f>
        <v/>
      </c>
      <c r="M13" s="8" t="inlineStr">
        <is>
          <t>2 wk</t>
        </is>
      </c>
      <c r="N13" s="9" t="inlineStr">
        <is>
          <t>Measures delivery CEP directly (Sizing §10 target &lt;=3 m).</t>
        </is>
      </c>
      <c r="O13" s="9" t="inlineStr">
        <is>
          <t>—</t>
        </is>
      </c>
    </row>
    <row r="14" ht="23.85" customHeight="1" s="45">
      <c r="A14" s="8" t="n">
        <v>9</v>
      </c>
      <c r="B14" s="9" t="inlineStr">
        <is>
          <t>Surveyed calibration markers</t>
        </is>
      </c>
      <c r="C14" s="9" t="inlineStr">
        <is>
          <t>600 mm checkerboard / AprilTag panels, RTK-surveyed positions</t>
        </is>
      </c>
      <c r="D14" s="9" t="inlineStr">
        <is>
          <t>Print + mount, in-house</t>
        </is>
      </c>
      <c r="E14" s="10" t="inlineStr">
        <is>
          <t>I1</t>
        </is>
      </c>
      <c r="F14" s="11" t="n">
        <v>1</v>
      </c>
      <c r="G14" s="8" t="n">
        <v>12</v>
      </c>
      <c r="H14" s="12" t="n">
        <v>300</v>
      </c>
      <c r="I14" s="12">
        <f>G14*H14</f>
        <v/>
      </c>
      <c r="J14" s="13" t="n">
        <v>400</v>
      </c>
      <c r="K14" s="13">
        <f>G14*J14</f>
        <v/>
      </c>
      <c r="L14" s="13">
        <f>K14*F14</f>
        <v/>
      </c>
      <c r="M14" s="8" t="inlineStr">
        <is>
          <t>1 wk</t>
        </is>
      </c>
      <c r="N14" s="9" t="inlineStr">
        <is>
          <t>Sizing §11: boresight and lever-arm calibration corrects SYSTEMATIC error that averaging cannot.</t>
        </is>
      </c>
      <c r="O14" s="9" t="inlineStr">
        <is>
          <t>—</t>
        </is>
      </c>
    </row>
    <row r="15" ht="15" customHeight="1" s="45">
      <c r="B15" s="47" t="inlineStr">
        <is>
          <t>TOTAL</t>
        </is>
      </c>
      <c r="F15" s="17">
        <f>L15/K15</f>
        <v/>
      </c>
      <c r="I15" s="18">
        <f>SUM(I5:I14)</f>
        <v/>
      </c>
      <c r="K15" s="19">
        <f>SUM(K5:K14)</f>
        <v/>
      </c>
      <c r="L15" s="19">
        <f>SUM(L5:L14)</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O31"/>
  <sheetViews>
    <sheetView zoomScaleNormal="100" workbookViewId="0">
      <pane ySplit="3" topLeftCell="A4" activePane="bottomLeft" state="frozen"/>
      <selection pane="bottomLeft" activeCell="A1" sqref="A1"/>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s>
  <sheetData>
    <row r="1" ht="17.4" customHeight="1" s="45">
      <c r="A1" s="1" t="inlineStr">
        <is>
          <t>03 — GROUND SEGMENT AND FIELD INFRASTRUCTURE, INDIAN SOURCES</t>
        </is>
      </c>
    </row>
    <row r="2" ht="15" customHeight="1" s="45">
      <c r="A2" s="2" t="inlineStr">
        <is>
          <t>Rule C10 allows exactly one Ground Control Station. Indian power, solar, safety and field infrastructure are strong; computing hardware is the weak spot.</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row>
    <row r="4" ht="15" customHeight="1" s="45">
      <c r="A4" s="6" t="inlineStr">
        <is>
          <t>GROUND CONTROL STATION</t>
        </is>
      </c>
      <c r="B4" s="7" t="n"/>
      <c r="C4" s="7" t="n"/>
      <c r="D4" s="7" t="n"/>
      <c r="E4" s="7" t="n"/>
      <c r="F4" s="7" t="n"/>
      <c r="G4" s="7" t="n"/>
      <c r="H4" s="7" t="n"/>
      <c r="I4" s="7" t="n"/>
      <c r="J4" s="7" t="n"/>
      <c r="K4" s="7" t="n"/>
      <c r="L4" s="7" t="n"/>
      <c r="M4" s="7" t="n"/>
      <c r="N4" s="7" t="n"/>
      <c r="O4" s="7" t="n"/>
    </row>
    <row r="5" ht="35.1" customHeight="1" s="45">
      <c r="A5" s="8" t="n">
        <v>1</v>
      </c>
      <c r="B5" s="9" t="inlineStr">
        <is>
          <t>GCS laptop</t>
        </is>
      </c>
      <c r="C5" s="9" t="inlineStr">
        <is>
          <t>16 GB RAM, 1 TB SSD, hardware H.264 decode</t>
        </is>
      </c>
      <c r="D5" s="9" t="inlineStr">
        <is>
          <t>Indian-manufactured unit (Dixon / VVDN / Syrma-built brands, or HCL)</t>
        </is>
      </c>
      <c r="E5" s="14" t="inlineStr">
        <is>
          <t>I3</t>
        </is>
      </c>
      <c r="F5" s="11" t="n">
        <v>0.25</v>
      </c>
      <c r="G5" s="8" t="n">
        <v>1</v>
      </c>
      <c r="H5" s="12" t="n">
        <v>2200</v>
      </c>
      <c r="I5" s="12">
        <f>G5*H5</f>
        <v/>
      </c>
      <c r="J5" s="13" t="n">
        <v>85000</v>
      </c>
      <c r="K5" s="13">
        <f>G5*J5</f>
        <v/>
      </c>
      <c r="L5" s="13">
        <f>K5*F5</f>
        <v/>
      </c>
      <c r="M5" s="8" t="inlineStr">
        <is>
          <t>2 wk</t>
        </is>
      </c>
      <c r="N5" s="9" t="inlineStr">
        <is>
          <t>Runs the custom GCS, MAVLink router, mesh node and video decode. Rule C10 permits exactly ONE GCS. The load is 3 x 720p H.264 WebRTC decode plus a Python GCS -- any modern iGPU does that. Detector training moved to Indian GPU cloud (tab 06 line 13), so no machine here needs a discrete GPU.</t>
        </is>
      </c>
      <c r="O5" s="9" t="inlineStr">
        <is>
          <t>Assembled in India under PLI; CPU/GPU/memory imported. There is no Indian x86 or discrete GPU.</t>
        </is>
      </c>
    </row>
    <row r="6" ht="23.85" customHeight="1" s="45">
      <c r="A6" s="8" t="n">
        <v>2</v>
      </c>
      <c r="B6" s="9" t="inlineStr">
        <is>
          <t>Backup laptop</t>
        </is>
      </c>
      <c r="C6" s="9" t="inlineStr">
        <is>
          <t>Cloned image, ready to swap; same software, lower spec</t>
        </is>
      </c>
      <c r="D6" s="9" t="inlineStr">
        <is>
          <t>Same</t>
        </is>
      </c>
      <c r="E6" s="14" t="inlineStr">
        <is>
          <t>I3</t>
        </is>
      </c>
      <c r="F6" s="11" t="n">
        <v>0.25</v>
      </c>
      <c r="G6" s="8" t="n">
        <v>1</v>
      </c>
      <c r="H6" s="12" t="n">
        <v>2200</v>
      </c>
      <c r="I6" s="12">
        <f>G6*H6</f>
        <v/>
      </c>
      <c r="J6" s="13" t="n">
        <v>55000</v>
      </c>
      <c r="K6" s="13">
        <f>G6*J6</f>
        <v/>
      </c>
      <c r="L6" s="13">
        <f>K6*F6</f>
        <v/>
      </c>
      <c r="M6" s="8" t="inlineStr">
        <is>
          <t>2 wk</t>
        </is>
      </c>
      <c r="N6" s="9" t="inlineStr">
        <is>
          <t>A GCS failure ends the mission. Clone it and keep it powered in the field box. It has to run the same software, not match the same benchmark -- a second full-price machine buys nothing the swap does not already give.</t>
        </is>
      </c>
      <c r="O6" s="9" t="inlineStr">
        <is>
          <t>—</t>
        </is>
      </c>
    </row>
    <row r="7" ht="23.85" customHeight="1" s="45">
      <c r="A7" s="8" t="n">
        <v>3</v>
      </c>
      <c r="B7" s="9" t="inlineStr">
        <is>
          <t>Sun hood + observer monitor</t>
        </is>
      </c>
      <c r="C7" s="9" t="inlineStr">
        <is>
          <t>Laptop hood plus a 15 in portable monitor for evaluators</t>
        </is>
      </c>
      <c r="D7" s="9" t="inlineStr">
        <is>
          <t>Local fabricator + Indian distributor</t>
        </is>
      </c>
      <c r="E7" s="14" t="inlineStr">
        <is>
          <t>I3</t>
        </is>
      </c>
      <c r="F7" s="11" t="n">
        <v>0.5</v>
      </c>
      <c r="G7" s="8" t="n">
        <v>1</v>
      </c>
      <c r="H7" s="12" t="n">
        <v>1500</v>
      </c>
      <c r="I7" s="12">
        <f>G7*H7</f>
        <v/>
      </c>
      <c r="J7" s="13" t="n">
        <v>12000</v>
      </c>
      <c r="K7" s="13">
        <f>G7*J7</f>
        <v/>
      </c>
      <c r="L7" s="13">
        <f>K7*F7</f>
        <v/>
      </c>
      <c r="M7" s="8" t="inlineStr">
        <is>
          <t>2 wk</t>
        </is>
      </c>
      <c r="N7" s="9" t="inlineStr">
        <is>
          <t>You cannot read a laptop screen in Indian midday sun (rule C15: daylight outdoors). Judges watch this screen. Hood is locally fabricated; the monitor is a commodity 15 in portable panel.</t>
        </is>
      </c>
      <c r="O7" s="9" t="inlineStr">
        <is>
          <t>Hood is locally made; panel imported.</t>
        </is>
      </c>
    </row>
    <row r="8" ht="15" customHeight="1" s="45">
      <c r="A8" s="6" t="inlineStr">
        <is>
          <t>MESH GROUND NODE</t>
        </is>
      </c>
      <c r="B8" s="7" t="n"/>
      <c r="C8" s="7" t="n"/>
      <c r="D8" s="7" t="n"/>
      <c r="E8" s="7" t="n"/>
      <c r="F8" s="7" t="n"/>
      <c r="G8" s="7" t="n"/>
      <c r="H8" s="7" t="n"/>
      <c r="I8" s="7" t="n"/>
      <c r="J8" s="7" t="n"/>
      <c r="K8" s="7" t="n"/>
      <c r="L8" s="7" t="n"/>
      <c r="M8" s="7" t="n"/>
      <c r="N8" s="7" t="n"/>
      <c r="O8" s="7" t="n"/>
    </row>
    <row r="9" ht="23.85" customHeight="1" s="45">
      <c r="A9" s="8" t="n">
        <v>4</v>
      </c>
      <c r="B9" s="9" t="inlineStr">
        <is>
          <t>Ground mesh node</t>
        </is>
      </c>
      <c r="C9" s="9" t="inlineStr">
        <is>
          <t>Same radio as the air nodes, weatherproof enclosure</t>
        </is>
      </c>
      <c r="D9" s="9" t="inlineStr">
        <is>
          <t>FxUAV Technologies / Indian SBC house</t>
        </is>
      </c>
      <c r="E9" s="14" t="inlineStr">
        <is>
          <t>I3</t>
        </is>
      </c>
      <c r="F9" s="11" t="n">
        <v>0.4</v>
      </c>
      <c r="G9" s="8" t="n">
        <v>1</v>
      </c>
      <c r="H9" s="12" t="n">
        <v>450</v>
      </c>
      <c r="I9" s="12">
        <f>G9*H9</f>
        <v/>
      </c>
      <c r="J9" s="13" t="n">
        <v>8000</v>
      </c>
      <c r="K9" s="13">
        <f>G9*J9</f>
        <v/>
      </c>
      <c r="L9" s="13">
        <f>K9*F9</f>
        <v/>
      </c>
      <c r="M9" s="8" t="inlineStr">
        <is>
          <t>3 wk</t>
        </is>
      </c>
      <c r="N9" s="9" t="inlineStr">
        <is>
          <t>Sizing §12.</t>
        </is>
      </c>
      <c r="O9" s="9" t="inlineStr">
        <is>
          <t>Wi-Fi chipset imported.</t>
        </is>
      </c>
    </row>
    <row r="10" ht="23.85" customHeight="1" s="45">
      <c r="A10" s="8" t="n">
        <v>5</v>
      </c>
      <c r="B10" s="9" t="inlineStr">
        <is>
          <t>Sector antenna</t>
        </is>
      </c>
      <c r="C10" s="9" t="inlineStr">
        <is>
          <t>9 dBi, 5.15-5.9 GHz, 90-120° sector</t>
        </is>
      </c>
      <c r="D10" s="9" t="inlineStr">
        <is>
          <t>Indian RF antenna manufacturer</t>
        </is>
      </c>
      <c r="E10" s="10" t="inlineStr">
        <is>
          <t>I2</t>
        </is>
      </c>
      <c r="F10" s="11" t="n">
        <v>0.7</v>
      </c>
      <c r="G10" s="8" t="n">
        <v>2</v>
      </c>
      <c r="H10" s="12" t="n">
        <v>320</v>
      </c>
      <c r="I10" s="12">
        <f>G10*H10</f>
        <v/>
      </c>
      <c r="J10" s="13" t="n">
        <v>3800</v>
      </c>
      <c r="K10" s="13">
        <f>G10*J10</f>
        <v/>
      </c>
      <c r="L10" s="13">
        <f>K10*F10</f>
        <v/>
      </c>
      <c r="M10" s="8" t="inlineStr">
        <is>
          <t>2 wk</t>
        </is>
      </c>
      <c r="N10" s="9" t="inlineStr">
        <is>
          <t>Sizing §12: 9 dBi at the GCS gives 33 dBm EIRP (legal) and 13.7 dB margin at 600 m.</t>
        </is>
      </c>
      <c r="O10" s="9" t="inlineStr">
        <is>
          <t>Well within Indian capability.</t>
        </is>
      </c>
    </row>
    <row r="11" ht="23.85" customHeight="1" s="45">
      <c r="A11" s="8" t="n">
        <v>6</v>
      </c>
      <c r="B11" s="9" t="inlineStr">
        <is>
          <t>Antenna mast</t>
        </is>
      </c>
      <c r="C11" s="9" t="inlineStr">
        <is>
          <t>2 m telescopic mast, tripod and guys</t>
        </is>
      </c>
      <c r="D11" s="9" t="inlineStr">
        <is>
          <t>Indian mast/tripod maker</t>
        </is>
      </c>
      <c r="E11" s="10" t="inlineStr">
        <is>
          <t>I1</t>
        </is>
      </c>
      <c r="F11" s="11" t="n">
        <v>1</v>
      </c>
      <c r="G11" s="8" t="n">
        <v>1</v>
      </c>
      <c r="H11" s="12" t="n">
        <v>3500</v>
      </c>
      <c r="I11" s="12">
        <f>G11*H11</f>
        <v/>
      </c>
      <c r="J11" s="13" t="n">
        <v>5500</v>
      </c>
      <c r="K11" s="13">
        <f>G11*J11</f>
        <v/>
      </c>
      <c r="L11" s="13">
        <f>K11*F11</f>
        <v/>
      </c>
      <c r="M11" s="8" t="inlineStr">
        <is>
          <t>2 wk</t>
        </is>
      </c>
      <c r="N11" s="9" t="inlineStr">
        <is>
          <t>Sizing §12: elevating the ground antenna is the cheapest link-margin gain available.</t>
        </is>
      </c>
      <c r="O11" s="9" t="inlineStr">
        <is>
          <t>None.</t>
        </is>
      </c>
    </row>
    <row r="12" ht="15" customHeight="1" s="45">
      <c r="A12" s="8" t="n">
        <v>7</v>
      </c>
      <c r="B12" s="9" t="inlineStr">
        <is>
          <t>Low-loss coax</t>
        </is>
      </c>
      <c r="C12" s="9" t="inlineStr">
        <is>
          <t>LMR-240 equivalent, 3 m, RP-SMA</t>
        </is>
      </c>
      <c r="D12" s="9" t="inlineStr">
        <is>
          <t>Indian RF cable assembler</t>
        </is>
      </c>
      <c r="E12" s="10" t="inlineStr">
        <is>
          <t>I2</t>
        </is>
      </c>
      <c r="F12" s="11" t="n">
        <v>0.6</v>
      </c>
      <c r="G12" s="8" t="n">
        <v>2</v>
      </c>
      <c r="H12" s="12" t="n">
        <v>220</v>
      </c>
      <c r="I12" s="12">
        <f>G12*H12</f>
        <v/>
      </c>
      <c r="J12" s="13" t="n">
        <v>1500</v>
      </c>
      <c r="K12" s="13">
        <f>G12*J12</f>
        <v/>
      </c>
      <c r="L12" s="13">
        <f>K12*F12</f>
        <v/>
      </c>
      <c r="M12" s="8" t="inlineStr">
        <is>
          <t>2 wk</t>
        </is>
      </c>
      <c r="N12" s="9" t="inlineStr">
        <is>
          <t>At 5.8 GHz cheap coax costs ~1 dB/m. Keep runs short.</t>
        </is>
      </c>
      <c r="O12" s="9" t="inlineStr">
        <is>
          <t>—</t>
        </is>
      </c>
    </row>
    <row r="13" ht="15" customHeight="1" s="45">
      <c r="A13" s="6" t="inlineStr">
        <is>
          <t>RTK BASE STATION — CONFIRMED PERMITTED by the organisers. Worth ~82 delivery points. May NOT be positioned or started before the 5-minute setup window (SYS-42).</t>
        </is>
      </c>
      <c r="B13" s="7" t="n"/>
      <c r="C13" s="7" t="n"/>
      <c r="D13" s="7" t="n"/>
      <c r="E13" s="7" t="n"/>
      <c r="F13" s="7" t="n"/>
      <c r="G13" s="7" t="n"/>
      <c r="H13" s="7" t="n"/>
      <c r="I13" s="7" t="n"/>
      <c r="J13" s="7" t="n"/>
      <c r="K13" s="7" t="n"/>
      <c r="L13" s="7" t="n"/>
      <c r="M13" s="7" t="n"/>
      <c r="N13" s="7" t="n"/>
      <c r="O13" s="7" t="n"/>
    </row>
    <row r="14" ht="46.2" customHeight="1" s="45">
      <c r="A14" s="8" t="n">
        <v>8</v>
      </c>
      <c r="B14" s="9" t="inlineStr">
        <is>
          <t>RTK base receiver</t>
        </is>
      </c>
      <c r="C14" s="9" t="inlineStr">
        <is>
          <t>NavIC + GNSS base with survey-grade antenna</t>
        </is>
      </c>
      <c r="D14" s="9" t="inlineStr">
        <is>
          <t>Accord Software &amp; Systems (Bengaluru) / Elena Geo Systems / Teravolt Labs</t>
        </is>
      </c>
      <c r="E14" s="10" t="inlineStr">
        <is>
          <t>I2</t>
        </is>
      </c>
      <c r="F14" s="11" t="n">
        <v>0.6</v>
      </c>
      <c r="G14" s="8" t="n">
        <v>1</v>
      </c>
      <c r="H14" s="12" t="n">
        <v>600</v>
      </c>
      <c r="I14" s="12">
        <f>G14*H14</f>
        <v/>
      </c>
      <c r="J14" s="13" t="n">
        <v>38000</v>
      </c>
      <c r="K14" s="13">
        <f>G14*J14</f>
        <v/>
      </c>
      <c r="L14" s="13">
        <f>K14*F14</f>
        <v/>
      </c>
      <c r="M14" s="8" t="inlineStr">
        <is>
          <t>4 wk</t>
        </is>
      </c>
      <c r="N14" s="9" t="inlineStr">
        <is>
          <t>Sizing §11: takes geotag CEP50 from ~2.5 m to ~1.1 m. Corrections travel on the team local link, not the internet.</t>
        </is>
      </c>
      <c r="O14" s="9" t="inlineStr">
        <is>
          <t>Accord has decades of Indian GNSS receiver heritage including NavIC. Confirm base-mode RTCM output and rover compatibility with the airborne receiver you choose.</t>
        </is>
      </c>
    </row>
    <row r="15" ht="23.85" customHeight="1" s="45">
      <c r="A15" s="8" t="n">
        <v>9</v>
      </c>
      <c r="B15" s="9" t="inlineStr">
        <is>
          <t>Survey tripod + tribrach</t>
        </is>
      </c>
      <c r="C15" s="9" t="inlineStr">
        <is>
          <t>Fixed-height survey tripod</t>
        </is>
      </c>
      <c r="D15" s="9" t="inlineStr">
        <is>
          <t>Indian survey equipment supplier</t>
        </is>
      </c>
      <c r="E15" s="10" t="inlineStr">
        <is>
          <t>I1</t>
        </is>
      </c>
      <c r="F15" s="11" t="n">
        <v>1</v>
      </c>
      <c r="G15" s="8" t="n">
        <v>1</v>
      </c>
      <c r="H15" s="12" t="n">
        <v>3500</v>
      </c>
      <c r="I15" s="12">
        <f>G15*H15</f>
        <v/>
      </c>
      <c r="J15" s="13" t="n">
        <v>9500</v>
      </c>
      <c r="K15" s="13">
        <f>G15*J15</f>
        <v/>
      </c>
      <c r="L15" s="13">
        <f>K15*F15</f>
        <v/>
      </c>
      <c r="M15" s="8" t="inlineStr">
        <is>
          <t>2 wk</t>
        </is>
      </c>
      <c r="N15" s="9" t="inlineStr">
        <is>
          <t>Base position must be stable and repeatable across the campaign.</t>
        </is>
      </c>
      <c r="O15" s="9" t="inlineStr">
        <is>
          <t>—</t>
        </is>
      </c>
    </row>
    <row r="16" ht="15" customHeight="1" s="45">
      <c r="A16" s="8" t="n">
        <v>10</v>
      </c>
      <c r="B16" s="9" t="inlineStr">
        <is>
          <t>Base-to-rover link</t>
        </is>
      </c>
      <c r="C16" s="9" t="inlineStr">
        <is>
          <t>865-867 MHz RTCM broadcast</t>
        </is>
      </c>
      <c r="D16" s="9" t="inlineStr">
        <is>
          <t>FxUAV / Indian module house</t>
        </is>
      </c>
      <c r="E16" s="14" t="inlineStr">
        <is>
          <t>I3</t>
        </is>
      </c>
      <c r="F16" s="11" t="n">
        <v>0.4</v>
      </c>
      <c r="G16" s="8" t="n">
        <v>1</v>
      </c>
      <c r="H16" s="12" t="n">
        <v>150</v>
      </c>
      <c r="I16" s="12">
        <f>G16*H16</f>
        <v/>
      </c>
      <c r="J16" s="13" t="n">
        <v>7500</v>
      </c>
      <c r="K16" s="13">
        <f>G16*J16</f>
        <v/>
      </c>
      <c r="L16" s="13">
        <f>K16*F16</f>
        <v/>
      </c>
      <c r="M16" s="8" t="inlineStr">
        <is>
          <t>3 wk</t>
        </is>
      </c>
      <c r="N16" s="9" t="inlineStr">
        <is>
          <t>Team-owned local link, compliant with rule C12.</t>
        </is>
      </c>
      <c r="O16" s="9" t="inlineStr">
        <is>
          <t>—</t>
        </is>
      </c>
    </row>
    <row r="17" ht="15" customHeight="1" s="45">
      <c r="A17" s="6" t="inlineStr">
        <is>
          <t>FIELD POWER AND INFRASTRUCTURE</t>
        </is>
      </c>
      <c r="B17" s="7" t="n"/>
      <c r="C17" s="7" t="n"/>
      <c r="D17" s="7" t="n"/>
      <c r="E17" s="7" t="n"/>
      <c r="F17" s="7" t="n"/>
      <c r="G17" s="7" t="n"/>
      <c r="H17" s="7" t="n"/>
      <c r="I17" s="7" t="n"/>
      <c r="J17" s="7" t="n"/>
      <c r="K17" s="7" t="n"/>
      <c r="L17" s="7" t="n"/>
      <c r="M17" s="7" t="n"/>
      <c r="N17" s="7" t="n"/>
      <c r="O17" s="7" t="n"/>
    </row>
    <row r="18" ht="23.85" customHeight="1" s="45">
      <c r="A18" s="8" t="n">
        <v>11</v>
      </c>
      <c r="B18" s="9" t="inlineStr">
        <is>
          <t>Portable power station</t>
        </is>
      </c>
      <c r="C18" s="9" t="inlineStr">
        <is>
          <t>1.2 kWh LiFePO4 with AC output</t>
        </is>
      </c>
      <c r="D18" s="9" t="inlineStr">
        <is>
          <t>Okaya / Luminous / Exide / Servotech (all Indian)</t>
        </is>
      </c>
      <c r="E18" s="10" t="inlineStr">
        <is>
          <t>I1</t>
        </is>
      </c>
      <c r="F18" s="11" t="n">
        <v>0.8</v>
      </c>
      <c r="G18" s="8" t="n">
        <v>1</v>
      </c>
      <c r="H18" s="12" t="n">
        <v>18000</v>
      </c>
      <c r="I18" s="12">
        <f>G18*H18</f>
        <v/>
      </c>
      <c r="J18" s="13" t="n">
        <v>55000</v>
      </c>
      <c r="K18" s="13">
        <f>G18*J18</f>
        <v/>
      </c>
      <c r="L18" s="13">
        <f>K18*F18</f>
        <v/>
      </c>
      <c r="M18" s="8" t="inlineStr">
        <is>
          <t>2 wk</t>
        </is>
      </c>
      <c r="N18" s="9" t="inlineStr">
        <is>
          <t>Sized on the actual energy: 3 x 292 Wh packs at ~85 % charge efficiency is ~1.03 kWh, plus GCS and instruments. 1.2 kWh covers a sortie set and recharges off mains or a vehicle between them; 2 kWh was carrying a reserve nothing asked for.</t>
        </is>
      </c>
      <c r="O18" s="9" t="inlineStr">
        <is>
          <t>Indian pack assembly and inverter; cells imported. Strong Indian option here.</t>
        </is>
      </c>
    </row>
    <row r="19" ht="23.85" customHeight="1" s="45">
      <c r="A19" s="8" t="n">
        <v>12</v>
      </c>
      <c r="B19" s="9" t="inlineStr">
        <is>
          <t>Solar panel</t>
        </is>
      </c>
      <c r="C19" s="9" t="inlineStr">
        <is>
          <t>200 W folding</t>
        </is>
      </c>
      <c r="D19" s="9" t="inlineStr">
        <is>
          <t>Waaree / Vikram Solar / Adani Solar (Indian)</t>
        </is>
      </c>
      <c r="E19" s="10" t="inlineStr">
        <is>
          <t>I1</t>
        </is>
      </c>
      <c r="F19" s="11" t="n">
        <v>0.9</v>
      </c>
      <c r="G19" s="8" t="n">
        <v>0</v>
      </c>
      <c r="H19" s="12" t="n">
        <v>6000</v>
      </c>
      <c r="I19" s="12">
        <f>G19*H19</f>
        <v/>
      </c>
      <c r="J19" s="13" t="n">
        <v>15000</v>
      </c>
      <c r="K19" s="13">
        <f>G19*J19</f>
        <v/>
      </c>
      <c r="L19" s="13">
        <f>K19*F19</f>
        <v/>
      </c>
      <c r="M19" s="8" t="inlineStr">
        <is>
          <t>2 wk</t>
        </is>
      </c>
      <c r="N19" s="9" t="inlineStr">
        <is>
          <t>CUT. The BOM's own note called this optional, and 200 W of folding PV needs ~7 h of ideal sun to refill 1.2 kWh -- that is not an operational answer for a test day. Mains, a vehicle inverter or a hired genset covers remote P7 sites. Reinstate at INR 15,000 if a site has neither.</t>
        </is>
      </c>
      <c r="O19" s="9" t="inlineStr">
        <is>
          <t>India has genuine world-scale PV manufacture.</t>
        </is>
      </c>
    </row>
    <row r="20" ht="15" customHeight="1" s="45">
      <c r="A20" s="8" t="n">
        <v>13</v>
      </c>
      <c r="B20" s="9" t="inlineStr">
        <is>
          <t>Field table, canopy, weights</t>
        </is>
      </c>
      <c r="C20" s="9" t="inlineStr">
        <is>
          <t>Folding table, 3x3 m canopy</t>
        </is>
      </c>
      <c r="D20" s="9" t="inlineStr">
        <is>
          <t>Local</t>
        </is>
      </c>
      <c r="E20" s="10" t="inlineStr">
        <is>
          <t>I1</t>
        </is>
      </c>
      <c r="F20" s="11" t="n">
        <v>1</v>
      </c>
      <c r="G20" s="8" t="n">
        <v>1</v>
      </c>
      <c r="H20" s="12" t="n">
        <v>12000</v>
      </c>
      <c r="I20" s="12">
        <f>G20*H20</f>
        <v/>
      </c>
      <c r="J20" s="13" t="n">
        <v>8000</v>
      </c>
      <c r="K20" s="13">
        <f>G20*J20</f>
        <v/>
      </c>
      <c r="L20" s="13">
        <f>K20*F20</f>
        <v/>
      </c>
      <c r="M20" s="8" t="inlineStr">
        <is>
          <t>1 wk</t>
        </is>
      </c>
      <c r="N20" s="9" t="inlineStr">
        <is>
          <t>Shade for the GCS and a stable surface.</t>
        </is>
      </c>
      <c r="O20" s="9" t="inlineStr">
        <is>
          <t>—</t>
        </is>
      </c>
    </row>
    <row r="21" ht="23.85" customHeight="1" s="45">
      <c r="A21" s="8" t="n">
        <v>14</v>
      </c>
      <c r="B21" s="9" t="inlineStr">
        <is>
          <t>Landing pad</t>
        </is>
      </c>
      <c r="C21" s="9" t="inlineStr">
        <is>
          <t>3.66 x 3.66 m marked pad, pegged, with sequenced position markers</t>
        </is>
      </c>
      <c r="D21" s="9" t="inlineStr">
        <is>
          <t>Local fabricator</t>
        </is>
      </c>
      <c r="E21" s="10" t="inlineStr">
        <is>
          <t>I1</t>
        </is>
      </c>
      <c r="F21" s="11" t="n">
        <v>1</v>
      </c>
      <c r="G21" s="8" t="n">
        <v>1</v>
      </c>
      <c r="H21" s="12" t="n">
        <v>4500</v>
      </c>
      <c r="I21" s="12">
        <f>G21*H21</f>
        <v/>
      </c>
      <c r="J21" s="13" t="n">
        <v>6500</v>
      </c>
      <c r="K21" s="13">
        <f>G21*J21</f>
        <v/>
      </c>
      <c r="L21" s="13">
        <f>K21*F21</f>
        <v/>
      </c>
      <c r="M21" s="8" t="inlineStr">
        <is>
          <t>2 wk</t>
        </is>
      </c>
      <c r="N21" s="9" t="inlineStr">
        <is>
          <t>Rule C14 fixes this at 12 ft. Practise every launch and recovery on an exactly-sized pad from day one.</t>
        </is>
      </c>
      <c r="O21" s="9" t="inlineStr">
        <is>
          <t>—</t>
        </is>
      </c>
    </row>
    <row r="22" ht="23.85" customHeight="1" s="45">
      <c r="A22" s="8" t="n">
        <v>15</v>
      </c>
      <c r="B22" s="9" t="inlineStr">
        <is>
          <t>Anemometer + windsock</t>
        </is>
      </c>
      <c r="C22" s="9" t="inlineStr">
        <is>
          <t>Handheld logging anemometer, 600 mm windsock</t>
        </is>
      </c>
      <c r="D22" s="9" t="inlineStr">
        <is>
          <t>Indian instrument supplier (e.g. HTC / Metravi)</t>
        </is>
      </c>
      <c r="E22" s="14" t="inlineStr">
        <is>
          <t>I3</t>
        </is>
      </c>
      <c r="F22" s="11" t="n">
        <v>0.4</v>
      </c>
      <c r="G22" s="8" t="n">
        <v>1</v>
      </c>
      <c r="H22" s="12" t="n">
        <v>400</v>
      </c>
      <c r="I22" s="12">
        <f>G22*H22</f>
        <v/>
      </c>
      <c r="J22" s="13" t="n">
        <v>4000</v>
      </c>
      <c r="K22" s="13">
        <f>G22*J22</f>
        <v/>
      </c>
      <c r="L22" s="13">
        <f>K22*F22</f>
        <v/>
      </c>
      <c r="M22" s="8" t="inlineStr">
        <is>
          <t>1 wk</t>
        </is>
      </c>
      <c r="N22" s="9" t="inlineStr">
        <is>
          <t>Sizing §9.2: the wind policy is constant GROUNDSPEED. You must measure wind to verify it and to log conditions per sortie.</t>
        </is>
      </c>
      <c r="O22" s="9" t="inlineStr">
        <is>
          <t>Sensor imported, assembly Indian.</t>
        </is>
      </c>
    </row>
    <row r="23" ht="23.85" customHeight="1" s="45">
      <c r="A23" s="8" t="n">
        <v>16</v>
      </c>
      <c r="B23" s="9" t="inlineStr">
        <is>
          <t>Equipment cases</t>
        </is>
      </c>
      <c r="C23" s="9" t="inlineStr">
        <is>
          <t>Wheeled hard cases with custom foam, 3 aircraft + ground kit</t>
        </is>
      </c>
      <c r="D23" s="9" t="inlineStr">
        <is>
          <t>Local case maker + local foam cutting (Indian case maker if quoted competitively)</t>
        </is>
      </c>
      <c r="E23" s="10" t="inlineStr">
        <is>
          <t>I1</t>
        </is>
      </c>
      <c r="F23" s="11" t="n">
        <v>0.9</v>
      </c>
      <c r="G23" s="8" t="n">
        <v>4</v>
      </c>
      <c r="H23" s="12" t="n">
        <v>7000</v>
      </c>
      <c r="I23" s="12">
        <f>G23*H23</f>
        <v/>
      </c>
      <c r="J23" s="13" t="n">
        <v>11000</v>
      </c>
      <c r="K23" s="13">
        <f>G23*J23</f>
        <v/>
      </c>
      <c r="L23" s="13">
        <f>K23*F23</f>
        <v/>
      </c>
      <c r="M23" s="8" t="inlineStr">
        <is>
          <t>3 wk</t>
        </is>
      </c>
      <c r="N23" s="9" t="inlineStr">
        <is>
          <t>Sizing S15: the 5-minute setup starts with getting aircraft out of cases. Foam layout is part of the choreography -- which is a function of the foam, not the shell. Locally fabricated wheeled cases meet it. QUOTE REQUIRED.</t>
        </is>
      </c>
      <c r="O23" s="9" t="inlineStr">
        <is>
          <t>—</t>
        </is>
      </c>
    </row>
    <row r="24" ht="15" customHeight="1" s="45">
      <c r="A24" s="6" t="inlineStr">
        <is>
          <t>SAFETY AND COMPLIANCE</t>
        </is>
      </c>
      <c r="B24" s="7" t="n"/>
      <c r="C24" s="7" t="n"/>
      <c r="D24" s="7" t="n"/>
      <c r="E24" s="7" t="n"/>
      <c r="F24" s="7" t="n"/>
      <c r="G24" s="7" t="n"/>
      <c r="H24" s="7" t="n"/>
      <c r="I24" s="7" t="n"/>
      <c r="J24" s="7" t="n"/>
      <c r="K24" s="7" t="n"/>
      <c r="L24" s="7" t="n"/>
      <c r="M24" s="7" t="n"/>
      <c r="N24" s="7" t="n"/>
      <c r="O24" s="7" t="n"/>
    </row>
    <row r="25" ht="15" customHeight="1" s="45">
      <c r="A25" s="8" t="n">
        <v>17</v>
      </c>
      <c r="B25" s="9" t="inlineStr">
        <is>
          <t>Li-ion safe bags</t>
        </is>
      </c>
      <c r="C25" s="9" t="inlineStr">
        <is>
          <t>Fire-resistant charging/storage bags</t>
        </is>
      </c>
      <c r="D25" s="9" t="inlineStr">
        <is>
          <t>Local supplier</t>
        </is>
      </c>
      <c r="E25" s="10" t="inlineStr">
        <is>
          <t>I2</t>
        </is>
      </c>
      <c r="F25" s="11" t="n">
        <v>0.6</v>
      </c>
      <c r="G25" s="8" t="n">
        <v>6</v>
      </c>
      <c r="H25" s="12" t="n">
        <v>300</v>
      </c>
      <c r="I25" s="12">
        <f>G25*H25</f>
        <v/>
      </c>
      <c r="J25" s="13" t="n">
        <v>1000</v>
      </c>
      <c r="K25" s="13">
        <f>G25*J25</f>
        <v/>
      </c>
      <c r="L25" s="13">
        <f>K25*F25</f>
        <v/>
      </c>
      <c r="M25" s="8" t="inlineStr">
        <is>
          <t>1 wk</t>
        </is>
      </c>
      <c r="N25" s="9" t="inlineStr">
        <is>
          <t>Non-negotiable with 292 Wh packs in a student lab.</t>
        </is>
      </c>
      <c r="O25" s="9" t="inlineStr">
        <is>
          <t>—</t>
        </is>
      </c>
    </row>
    <row r="26" ht="23.85" customHeight="1" s="45">
      <c r="A26" s="8" t="n">
        <v>18</v>
      </c>
      <c r="B26" s="9" t="inlineStr">
        <is>
          <t>Fire extinguisher + sand</t>
        </is>
      </c>
      <c r="C26" s="9" t="inlineStr">
        <is>
          <t>Lithium-rated extinguisher, dry sand bucket</t>
        </is>
      </c>
      <c r="D26" s="9" t="inlineStr">
        <is>
          <t>Indian extinguisher manufacturer</t>
        </is>
      </c>
      <c r="E26" s="10" t="inlineStr">
        <is>
          <t>I1</t>
        </is>
      </c>
      <c r="F26" s="11" t="n">
        <v>1</v>
      </c>
      <c r="G26" s="8" t="n">
        <v>2</v>
      </c>
      <c r="H26" s="12" t="n">
        <v>5000</v>
      </c>
      <c r="I26" s="12">
        <f>G26*H26</f>
        <v/>
      </c>
      <c r="J26" s="13" t="n">
        <v>5500</v>
      </c>
      <c r="K26" s="13">
        <f>G26*J26</f>
        <v/>
      </c>
      <c r="L26" s="13">
        <f>K26*F26</f>
        <v/>
      </c>
      <c r="M26" s="8" t="inlineStr">
        <is>
          <t>1 wk</t>
        </is>
      </c>
      <c r="N26" s="9" t="inlineStr">
        <is>
          <t>Water and CO2 will not stop a lithium fire.</t>
        </is>
      </c>
      <c r="O26" s="9" t="inlineStr">
        <is>
          <t>None. Indian fire-safety manufacture is strong.</t>
        </is>
      </c>
    </row>
    <row r="27" ht="23.85" customHeight="1" s="45">
      <c r="A27" s="8" t="n">
        <v>19</v>
      </c>
      <c r="B27" s="9" t="inlineStr">
        <is>
          <t>First aid kit</t>
        </is>
      </c>
      <c r="C27" s="9" t="inlineStr">
        <is>
          <t>Trauma-capable, laceration dressings</t>
        </is>
      </c>
      <c r="D27" s="9" t="inlineStr">
        <is>
          <t>Local pharmacy</t>
        </is>
      </c>
      <c r="E27" s="10" t="inlineStr">
        <is>
          <t>I1</t>
        </is>
      </c>
      <c r="F27" s="11" t="n">
        <v>1</v>
      </c>
      <c r="G27" s="8" t="n">
        <v>1</v>
      </c>
      <c r="H27" s="12" t="n">
        <v>1500</v>
      </c>
      <c r="I27" s="12">
        <f>G27*H27</f>
        <v/>
      </c>
      <c r="J27" s="13" t="n">
        <v>3000</v>
      </c>
      <c r="K27" s="13">
        <f>G27*J27</f>
        <v/>
      </c>
      <c r="L27" s="13">
        <f>K27*F27</f>
        <v/>
      </c>
      <c r="M27" s="8" t="inlineStr">
        <is>
          <t>1 wk</t>
        </is>
      </c>
      <c r="N27" s="9" t="inlineStr">
        <is>
          <t>18 in carbon props cause serious injuries. Have this before the first spin-up.</t>
        </is>
      </c>
      <c r="O27" s="9" t="inlineStr">
        <is>
          <t>—</t>
        </is>
      </c>
    </row>
    <row r="28" ht="15" customHeight="1" s="45">
      <c r="A28" s="8" t="n">
        <v>20</v>
      </c>
      <c r="B28" s="9" t="inlineStr">
        <is>
          <t>Hi-vis vests + eye protection</t>
        </is>
      </c>
      <c r="C28" s="9" t="inlineStr">
        <is>
          <t>For 2 setup crew plus safety officer</t>
        </is>
      </c>
      <c r="D28" s="9" t="inlineStr">
        <is>
          <t>Local safety supplier</t>
        </is>
      </c>
      <c r="E28" s="10" t="inlineStr">
        <is>
          <t>I1</t>
        </is>
      </c>
      <c r="F28" s="11" t="n">
        <v>1</v>
      </c>
      <c r="G28" s="8" t="n">
        <v>5</v>
      </c>
      <c r="H28" s="12" t="n">
        <v>200</v>
      </c>
      <c r="I28" s="12">
        <f>G28*H28</f>
        <v/>
      </c>
      <c r="J28" s="13" t="n">
        <v>500</v>
      </c>
      <c r="K28" s="13">
        <f>G28*J28</f>
        <v/>
      </c>
      <c r="L28" s="13">
        <f>K28*F28</f>
        <v/>
      </c>
      <c r="M28" s="8" t="inlineStr">
        <is>
          <t>1 wk</t>
        </is>
      </c>
      <c r="N28" s="9" t="inlineStr">
        <is>
          <t>Range discipline; also signals professionalism to evaluators.</t>
        </is>
      </c>
      <c r="O28" s="9" t="inlineStr">
        <is>
          <t>—</t>
        </is>
      </c>
    </row>
    <row r="29" ht="23.85" customHeight="1" s="45">
      <c r="A29" s="8" t="n">
        <v>21</v>
      </c>
      <c r="B29" s="9" t="inlineStr">
        <is>
          <t>Safety-pilot transmitter</t>
        </is>
      </c>
      <c r="C29" s="9" t="inlineStr">
        <is>
          <t>ELRS/2.4 GHz TX matched to the aircraft receivers</t>
        </is>
      </c>
      <c r="D29" s="9" t="inlineStr">
        <is>
          <t>Zerodrag (India) / Indian distributor</t>
        </is>
      </c>
      <c r="E29" s="14" t="inlineStr">
        <is>
          <t>I3</t>
        </is>
      </c>
      <c r="F29" s="11" t="n">
        <v>0.4</v>
      </c>
      <c r="G29" s="8" t="n">
        <v>1</v>
      </c>
      <c r="H29" s="12" t="n">
        <v>700</v>
      </c>
      <c r="I29" s="12">
        <f>G29*H29</f>
        <v/>
      </c>
      <c r="J29" s="13" t="n">
        <v>16000</v>
      </c>
      <c r="K29" s="13">
        <f>G29*J29</f>
        <v/>
      </c>
      <c r="L29" s="13">
        <f>K29*F29</f>
        <v/>
      </c>
      <c r="M29" s="8" t="inlineStr">
        <is>
          <t>2 wk</t>
        </is>
      </c>
      <c r="N29" s="9" t="inlineStr">
        <is>
          <t>Manual override during testing; unused in the scored run.</t>
        </is>
      </c>
      <c r="O29" s="9" t="inlineStr">
        <is>
          <t>—</t>
        </is>
      </c>
    </row>
    <row r="30" ht="23.85" customHeight="1" s="45">
      <c r="A30" s="8" t="n">
        <v>22</v>
      </c>
      <c r="B30" s="9" t="inlineStr">
        <is>
          <t>Barrier tape and cones</t>
        </is>
      </c>
      <c r="C30" s="9" t="inlineStr">
        <is>
          <t>100 m tape, 8 cones</t>
        </is>
      </c>
      <c r="D30" s="9" t="inlineStr">
        <is>
          <t>Local</t>
        </is>
      </c>
      <c r="E30" s="10" t="inlineStr">
        <is>
          <t>I1</t>
        </is>
      </c>
      <c r="F30" s="11" t="n">
        <v>1</v>
      </c>
      <c r="G30" s="8" t="n">
        <v>1</v>
      </c>
      <c r="H30" s="12" t="n">
        <v>2000</v>
      </c>
      <c r="I30" s="12">
        <f>G30*H30</f>
        <v/>
      </c>
      <c r="J30" s="13" t="n">
        <v>1200</v>
      </c>
      <c r="K30" s="13">
        <f>G30*J30</f>
        <v/>
      </c>
      <c r="L30" s="13">
        <f>K30*F30</f>
        <v/>
      </c>
      <c r="M30" s="8" t="inlineStr">
        <is>
          <t>1 wk</t>
        </is>
      </c>
      <c r="N30" s="9" t="inlineStr">
        <is>
          <t>Defines the flight area and keeps spectators out of the descent cone.</t>
        </is>
      </c>
      <c r="O30" s="9" t="inlineStr">
        <is>
          <t>—</t>
        </is>
      </c>
    </row>
    <row r="31" ht="15" customHeight="1" s="45">
      <c r="B31" s="47" t="inlineStr">
        <is>
          <t>TOTAL</t>
        </is>
      </c>
      <c r="F31" s="17">
        <f>L31/K31</f>
        <v/>
      </c>
      <c r="I31" s="18">
        <f>SUM(I5:I30)</f>
        <v/>
      </c>
      <c r="K31" s="19">
        <f>SUM(K5:K30)</f>
        <v/>
      </c>
      <c r="L31" s="19">
        <f>SUM(L5:L30)</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29"/>
  <sheetViews>
    <sheetView zoomScaleNormal="100" workbookViewId="0">
      <pane ySplit="3" topLeftCell="A4" activePane="bottomLeft" state="frozen"/>
      <selection pane="bottomLeft" activeCell="A1" sqref="A1"/>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s>
  <sheetData>
    <row r="1" ht="17.4" customHeight="1" s="45">
      <c r="A1" s="1" t="inlineStr">
        <is>
          <t>04 — TEST, LAB AND CALIBRATION EQUIPMENT, INDIAN SOURCES</t>
        </is>
      </c>
    </row>
    <row r="2" ht="15" customHeight="1" s="45">
      <c r="A2" s="2" t="inlineStr">
        <is>
          <t>India is strong in instruments, balances, hand tools and 3D printers. Weak in hobby chargers and cell testers — outsource pack building instead.</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row>
    <row r="4" ht="15" customHeight="1" s="45">
      <c r="A4" s="6" t="inlineStr">
        <is>
          <t>PROPULSION AND POWER CHARACTERISATION — retires assumptions A1, A2, A4, A5 (Sizing §16)</t>
        </is>
      </c>
      <c r="B4" s="7" t="n"/>
      <c r="C4" s="7" t="n"/>
      <c r="D4" s="7" t="n"/>
      <c r="E4" s="7" t="n"/>
      <c r="F4" s="7" t="n"/>
      <c r="G4" s="7" t="n"/>
      <c r="H4" s="7" t="n"/>
      <c r="I4" s="7" t="n"/>
      <c r="J4" s="7" t="n"/>
      <c r="K4" s="7" t="n"/>
      <c r="L4" s="7" t="n"/>
      <c r="M4" s="7" t="n"/>
      <c r="N4" s="7" t="n"/>
      <c r="O4" s="7" t="n"/>
    </row>
    <row r="5" ht="46.2" customHeight="1" s="45">
      <c r="A5" s="8" t="n">
        <v>1</v>
      </c>
      <c r="B5" s="9" t="inlineStr">
        <is>
          <t>Thrust stand</t>
        </is>
      </c>
      <c r="C5" s="9" t="inlineStr">
        <is>
          <t>Motor/prop test stand: thrust + torque + RPM + electrical power, to 5 kgf</t>
        </is>
      </c>
      <c r="D5" s="9" t="inlineStr">
        <is>
          <t>Build in-house around Indian load cells (Sensocon, Instrumentation Ltd Kota) + Indian DAQ</t>
        </is>
      </c>
      <c r="E5" s="10" t="inlineStr">
        <is>
          <t>I1</t>
        </is>
      </c>
      <c r="F5" s="11" t="n">
        <v>0.85</v>
      </c>
      <c r="G5" s="8" t="n">
        <v>1</v>
      </c>
      <c r="H5" s="12" t="n">
        <v>3000</v>
      </c>
      <c r="I5" s="12">
        <f>G5*H5</f>
        <v/>
      </c>
      <c r="J5" s="13" t="n">
        <v>45000</v>
      </c>
      <c r="K5" s="13">
        <f>G5*J5</f>
        <v/>
      </c>
      <c r="L5" s="13">
        <f>K5*F5</f>
        <v/>
      </c>
      <c r="M5" s="8" t="inlineStr">
        <is>
          <t>4 wk</t>
        </is>
      </c>
      <c r="N5" s="9" t="inlineStr">
        <is>
          <t>Sizing §16 A1: figure of merit is assumed 0.60 and is the LARGEST uncertainty in the power model (±0.1 gives ∓17% hover power). This instrument replaces the assumption with data.</t>
        </is>
      </c>
      <c r="O5" s="9" t="inlineStr">
        <is>
          <t>Building it in India costs a third of an imported RCbenchmark and is itself a legitimate engineering deliverable for the technical report. Indian load cells are good.</t>
        </is>
      </c>
    </row>
    <row r="6" ht="23.85" customHeight="1" s="45">
      <c r="A6" s="8" t="n">
        <v>2</v>
      </c>
      <c r="B6" s="9" t="inlineStr">
        <is>
          <t>Power analyser</t>
        </is>
      </c>
      <c r="C6" s="9" t="inlineStr">
        <is>
          <t>Inline watt meter, 130 A, logging</t>
        </is>
      </c>
      <c r="D6" s="9" t="inlineStr">
        <is>
          <t>Meco Instruments (Mumbai) / Indian distributor</t>
        </is>
      </c>
      <c r="E6" s="10" t="inlineStr">
        <is>
          <t>I2</t>
        </is>
      </c>
      <c r="F6" s="11" t="n">
        <v>0.5</v>
      </c>
      <c r="G6" s="8" t="n">
        <v>1</v>
      </c>
      <c r="H6" s="12" t="n">
        <v>180</v>
      </c>
      <c r="I6" s="12">
        <f>G6*H6</f>
        <v/>
      </c>
      <c r="J6" s="13" t="n">
        <v>4000</v>
      </c>
      <c r="K6" s="13">
        <f>G6*J6</f>
        <v/>
      </c>
      <c r="L6" s="13">
        <f>K6*F6</f>
        <v/>
      </c>
      <c r="M6" s="8" t="inlineStr">
        <is>
          <t>2 wk</t>
        </is>
      </c>
      <c r="N6" s="9" t="inlineStr">
        <is>
          <t>Measures real hover current against the 36 A predicted (Sizing S6). One instrument, used on one thrust stand, by one person.</t>
        </is>
      </c>
      <c r="O6" s="9" t="inlineStr">
        <is>
          <t>Meco is a genuine Indian instrument manufacturer.</t>
        </is>
      </c>
    </row>
    <row r="7" ht="46.2" customHeight="1" s="45">
      <c r="A7" s="8" t="n">
        <v>3</v>
      </c>
      <c r="B7" s="9" t="inlineStr">
        <is>
          <t>Battery charger</t>
        </is>
      </c>
      <c r="C7" s="9" t="inlineStr">
        <is>
          <t>6S, 400-600 W, balance charging, 2 units</t>
        </is>
      </c>
      <c r="D7" s="9" t="inlineStr">
        <is>
          <t>Indian drone charger supplier (Bharath Components / IoTechWorld) or Indian bench PSU + BMS CC/CV</t>
        </is>
      </c>
      <c r="E7" s="14" t="inlineStr">
        <is>
          <t>I3</t>
        </is>
      </c>
      <c r="F7" s="11" t="n">
        <v>0.4</v>
      </c>
      <c r="G7" s="8" t="n">
        <v>2</v>
      </c>
      <c r="H7" s="12" t="n">
        <v>1200</v>
      </c>
      <c r="I7" s="12">
        <f>G7*H7</f>
        <v/>
      </c>
      <c r="J7" s="13" t="n">
        <v>14000</v>
      </c>
      <c r="K7" s="13">
        <f>G7*J7</f>
        <v/>
      </c>
      <c r="L7" s="13">
        <f>K7*F7</f>
        <v/>
      </c>
      <c r="M7" s="8" t="inlineStr">
        <is>
          <t>3 wk</t>
        </is>
      </c>
      <c r="N7" s="9" t="inlineStr">
        <is>
          <t>A 292 Wh pack at 1C needs ~300 W. Two chargers keep a test day moving. The 1000 W class was buying headroom above 1C that the cells should not see anyway -- 400-600 W each is the requirement.</t>
        </is>
      </c>
      <c r="O7" s="9" t="inlineStr">
        <is>
          <t>GAP: hobby-grade balance chargers are almost entirely imported. Agri-drone charger suppliers in India are the closest domestic option — ask them for a 6S variant.</t>
        </is>
      </c>
    </row>
    <row r="8" ht="23.85" customHeight="1" s="45">
      <c r="A8" s="8" t="n">
        <v>4</v>
      </c>
      <c r="B8" s="9" t="inlineStr">
        <is>
          <t>Charger PSU</t>
        </is>
      </c>
      <c r="C8" s="9" t="inlineStr">
        <is>
          <t>24 V 40 A bench/server supply (960 W, feeds both chargers)</t>
        </is>
      </c>
      <c r="D8" s="9" t="inlineStr">
        <is>
          <t xml:space="preserve">Aplab / Scientific Mes-Technik (Indian) </t>
        </is>
      </c>
      <c r="E8" s="10" t="inlineStr">
        <is>
          <t>I1</t>
        </is>
      </c>
      <c r="F8" s="11" t="n">
        <v>0.8</v>
      </c>
      <c r="G8" s="8" t="n">
        <v>1</v>
      </c>
      <c r="H8" s="12" t="n">
        <v>1500</v>
      </c>
      <c r="I8" s="12">
        <f>G8*H8</f>
        <v/>
      </c>
      <c r="J8" s="13" t="n">
        <v>8000</v>
      </c>
      <c r="K8" s="13">
        <f>G8*J8</f>
        <v/>
      </c>
      <c r="L8" s="13">
        <f>K8*F8</f>
        <v/>
      </c>
      <c r="M8" s="8" t="inlineStr">
        <is>
          <t>2 wk</t>
        </is>
      </c>
      <c r="N8" s="9" t="inlineStr">
        <is>
          <t>Feeds the chargers at rated power. Two 600 W chargers at 1C draw ~600 W combined, so one 960 W supply carries both with margin.</t>
        </is>
      </c>
      <c r="O8" s="9" t="inlineStr">
        <is>
          <t>Aplab is a long-standing Indian instrument maker.</t>
        </is>
      </c>
    </row>
    <row r="9" ht="35.1" customHeight="1" s="45">
      <c r="A9" s="8" t="n">
        <v>5</v>
      </c>
      <c r="B9" s="9" t="inlineStr">
        <is>
          <t>Cell tester</t>
        </is>
      </c>
      <c r="C9" s="9" t="inlineStr">
        <is>
          <t>21700 capacity and internal-resistance tester, 8-bay</t>
        </is>
      </c>
      <c r="D9" s="9" t="inlineStr">
        <is>
          <t>Indian distributor; or build around an Indian DAQ</t>
        </is>
      </c>
      <c r="E9" s="15" t="inlineStr">
        <is>
          <t>I4</t>
        </is>
      </c>
      <c r="F9" s="11" t="n">
        <v>0.2</v>
      </c>
      <c r="G9" s="8" t="n">
        <v>1</v>
      </c>
      <c r="H9" s="12" t="n">
        <v>900</v>
      </c>
      <c r="I9" s="12">
        <f>G9*H9</f>
        <v/>
      </c>
      <c r="J9" s="13" t="n">
        <v>13000</v>
      </c>
      <c r="K9" s="13">
        <f>G9*J9</f>
        <v/>
      </c>
      <c r="L9" s="13">
        <f>K9*F9</f>
        <v/>
      </c>
      <c r="M9" s="8" t="inlineStr">
        <is>
          <t>3 wk</t>
        </is>
      </c>
      <c r="N9" s="9" t="inlineStr">
        <is>
          <t>Every cell capacity- and IR-matched before pack assembly. Counterfeit 21700s are widespread.</t>
        </is>
      </c>
      <c r="O9" s="9" t="inlineStr">
        <is>
          <t>If you buy from an Indian pack house, contract them to do the matching and hand you the data — that removes the need to own this.</t>
        </is>
      </c>
    </row>
    <row r="10" ht="23.85" customHeight="1" s="45">
      <c r="A10" s="8" t="n">
        <v>6</v>
      </c>
      <c r="B10" s="9" t="inlineStr">
        <is>
          <t>Spot welder</t>
        </is>
      </c>
      <c r="C10" s="9" t="inlineStr">
        <is>
          <t>21700-capable battery spot welder</t>
        </is>
      </c>
      <c r="D10" s="9" t="inlineStr">
        <is>
          <t>Indian fabricator / Indian welding supplier</t>
        </is>
      </c>
      <c r="E10" s="14" t="inlineStr">
        <is>
          <t>I3</t>
        </is>
      </c>
      <c r="F10" s="11" t="n">
        <v>0.4</v>
      </c>
      <c r="G10" s="8" t="n">
        <v>0</v>
      </c>
      <c r="H10" s="12" t="n">
        <v>3500</v>
      </c>
      <c r="I10" s="12">
        <f>G10*H10</f>
        <v/>
      </c>
      <c r="J10" s="13" t="n">
        <v>15000</v>
      </c>
      <c r="K10" s="13">
        <f>G10*J10</f>
        <v/>
      </c>
      <c r="L10" s="13">
        <f>K10*F10</f>
        <v/>
      </c>
      <c r="M10" s="8" t="inlineStr">
        <is>
          <t>3 wk</t>
        </is>
      </c>
      <c r="N10" s="9" t="inlineStr">
        <is>
          <t>CUT. Tab 01 line 18 buys pack assembly as a service from an Indian pack house, which spot-welds. Owning a welder to do in-house what is already being paid for is a duplicate buy. Reinstate at INR 15,000 only if pack assembly is brought in-house.</t>
        </is>
      </c>
      <c r="O10" s="9" t="inlineStr">
        <is>
          <t>Or outsource pack building entirely to an Indian pack house — recommended.</t>
        </is>
      </c>
    </row>
    <row r="11" ht="15" customHeight="1" s="45">
      <c r="A11" s="6" t="inlineStr">
        <is>
          <t>MEASUREMENT AND CALIBRATION</t>
        </is>
      </c>
      <c r="B11" s="7" t="n"/>
      <c r="C11" s="7" t="n"/>
      <c r="D11" s="7" t="n"/>
      <c r="E11" s="7" t="n"/>
      <c r="F11" s="7" t="n"/>
      <c r="G11" s="7" t="n"/>
      <c r="H11" s="7" t="n"/>
      <c r="I11" s="7" t="n"/>
      <c r="J11" s="7" t="n"/>
      <c r="K11" s="7" t="n"/>
      <c r="L11" s="7" t="n"/>
      <c r="M11" s="7" t="n"/>
      <c r="N11" s="7" t="n"/>
      <c r="O11" s="7" t="n"/>
    </row>
    <row r="12" ht="23.85" customHeight="1" s="45">
      <c r="A12" s="8" t="n">
        <v>7</v>
      </c>
      <c r="B12" s="9" t="inlineStr">
        <is>
          <t>Precision scale</t>
        </is>
      </c>
      <c r="C12" s="9" t="inlineStr">
        <is>
          <t>0.1 g resolution, 5 kg capacity</t>
        </is>
      </c>
      <c r="D12" s="9" t="inlineStr">
        <is>
          <t>Aczet (Mumbai) / Contech (Indian balance manufacturers)</t>
        </is>
      </c>
      <c r="E12" s="10" t="inlineStr">
        <is>
          <t>I1</t>
        </is>
      </c>
      <c r="F12" s="11" t="n">
        <v>0.9</v>
      </c>
      <c r="G12" s="8" t="n">
        <v>1</v>
      </c>
      <c r="H12" s="12" t="n">
        <v>2000</v>
      </c>
      <c r="I12" s="12">
        <f>G12*H12</f>
        <v/>
      </c>
      <c r="J12" s="13" t="n">
        <v>7000</v>
      </c>
      <c r="K12" s="13">
        <f>G12*J12</f>
        <v/>
      </c>
      <c r="L12" s="13">
        <f>K12*F12</f>
        <v/>
      </c>
      <c r="M12" s="8" t="inlineStr">
        <is>
          <t>1 wk</t>
        </is>
      </c>
      <c r="N12" s="9" t="inlineStr">
        <is>
          <t>Every part weighed on arrival; kits trimmed to exactly 200 g (rule C6).</t>
        </is>
      </c>
      <c r="O12" s="9" t="inlineStr">
        <is>
          <t>Aczet and Contech are real Indian balance manufacturers.</t>
        </is>
      </c>
    </row>
    <row r="13" ht="23.85" customHeight="1" s="45">
      <c r="A13" s="8" t="n">
        <v>8</v>
      </c>
      <c r="B13" s="9" t="inlineStr">
        <is>
          <t>Hanging scale — FLEET WEIGH-IN</t>
        </is>
      </c>
      <c r="C13" s="9" t="inlineStr">
        <is>
          <t>Calibrated, 50 kg, 10 g resolution</t>
        </is>
      </c>
      <c r="D13" s="9" t="inlineStr">
        <is>
          <t>Contech / Essae-Teraoka (Bengaluru)</t>
        </is>
      </c>
      <c r="E13" s="10" t="inlineStr">
        <is>
          <t>I1</t>
        </is>
      </c>
      <c r="F13" s="11" t="n">
        <v>0.9</v>
      </c>
      <c r="G13" s="8" t="n">
        <v>1</v>
      </c>
      <c r="H13" s="12" t="n">
        <v>400</v>
      </c>
      <c r="I13" s="12">
        <f>G13*H13</f>
        <v/>
      </c>
      <c r="J13" s="13" t="n">
        <v>4000</v>
      </c>
      <c r="K13" s="13">
        <f>G13*J13</f>
        <v/>
      </c>
      <c r="L13" s="13">
        <f>K13*F13</f>
        <v/>
      </c>
      <c r="M13" s="8" t="inlineStr">
        <is>
          <t>1 wk</t>
        </is>
      </c>
      <c r="N13" s="9" t="inlineStr">
        <is>
          <t>Rule C2 is a pass/fail check at 25 kg. Own a calibrated scale; do not discover a discrepancy at the venue.</t>
        </is>
      </c>
      <c r="O13" s="9" t="inlineStr">
        <is>
          <t>None.</t>
        </is>
      </c>
    </row>
    <row r="14" ht="23.85" customHeight="1" s="45">
      <c r="A14" s="8" t="n">
        <v>9</v>
      </c>
      <c r="B14" s="9" t="inlineStr">
        <is>
          <t>Calipers and micrometer</t>
        </is>
      </c>
      <c r="C14" s="9" t="inlineStr">
        <is>
          <t>150 mm digital calipers, 0-25 mm micrometer</t>
        </is>
      </c>
      <c r="D14" s="9" t="inlineStr">
        <is>
          <t>Baker Gauges India (Pune) / Mitutoyo South Asia</t>
        </is>
      </c>
      <c r="E14" s="10" t="inlineStr">
        <is>
          <t>I1</t>
        </is>
      </c>
      <c r="F14" s="11" t="n">
        <v>0.8</v>
      </c>
      <c r="G14" s="8" t="n">
        <v>1</v>
      </c>
      <c r="H14" s="12" t="n">
        <v>300</v>
      </c>
      <c r="I14" s="12">
        <f>G14*H14</f>
        <v/>
      </c>
      <c r="J14" s="13" t="n">
        <v>3200</v>
      </c>
      <c r="K14" s="13">
        <f>G14*J14</f>
        <v/>
      </c>
      <c r="L14" s="13">
        <f>K14*F14</f>
        <v/>
      </c>
      <c r="M14" s="8" t="inlineStr">
        <is>
          <t>1 wk</t>
        </is>
      </c>
      <c r="N14" s="9" t="inlineStr">
        <is>
          <t>CF tube OD/ID verification. One set; this is a bench measurement, not two parallel stations.</t>
        </is>
      </c>
      <c r="O14" s="9" t="inlineStr">
        <is>
          <t>Baker Gauges is an Indian precision metrology manufacturer.</t>
        </is>
      </c>
    </row>
    <row r="15" ht="23.85" customHeight="1" s="45">
      <c r="A15" s="8" t="n">
        <v>10</v>
      </c>
      <c r="B15" s="9" t="inlineStr">
        <is>
          <t>Torque driver</t>
        </is>
      </c>
      <c r="C15" s="9" t="inlineStr">
        <is>
          <t>1-6 N·m adjustable with hex/Torx bits</t>
        </is>
      </c>
      <c r="D15" s="9" t="inlineStr">
        <is>
          <t>Groz / Taparia (Indian) or Indian distributor</t>
        </is>
      </c>
      <c r="E15" s="10" t="inlineStr">
        <is>
          <t>I2</t>
        </is>
      </c>
      <c r="F15" s="11" t="n">
        <v>0.6</v>
      </c>
      <c r="G15" s="8" t="n">
        <v>1</v>
      </c>
      <c r="H15" s="12" t="n">
        <v>400</v>
      </c>
      <c r="I15" s="12">
        <f>G15*H15</f>
        <v/>
      </c>
      <c r="J15" s="13" t="n">
        <v>6500</v>
      </c>
      <c r="K15" s="13">
        <f>G15*J15</f>
        <v/>
      </c>
      <c r="L15" s="13">
        <f>K15*F15</f>
        <v/>
      </c>
      <c r="M15" s="8" t="inlineStr">
        <is>
          <t>2 wk</t>
        </is>
      </c>
      <c r="N15" s="9" t="inlineStr">
        <is>
          <t>Motor and arm-clamp bolts must be torqued to spec. Under-torqued clamps creep; over-torqued crush CF.</t>
        </is>
      </c>
      <c r="O15" s="9" t="inlineStr">
        <is>
          <t>—</t>
        </is>
      </c>
    </row>
    <row r="16" ht="23.85" customHeight="1" s="45">
      <c r="A16" s="8" t="n">
        <v>11</v>
      </c>
      <c r="B16" s="9" t="inlineStr">
        <is>
          <t>Propeller balancer</t>
        </is>
      </c>
      <c r="C16" s="9" t="inlineStr">
        <is>
          <t>Magnetic balancer for 18 in props</t>
        </is>
      </c>
      <c r="D16" s="9" t="inlineStr">
        <is>
          <t>Local fabricator / Indian distributor</t>
        </is>
      </c>
      <c r="E16" s="10" t="inlineStr">
        <is>
          <t>I2</t>
        </is>
      </c>
      <c r="F16" s="11" t="n">
        <v>0.6</v>
      </c>
      <c r="G16" s="8" t="n">
        <v>1</v>
      </c>
      <c r="H16" s="12" t="n">
        <v>600</v>
      </c>
      <c r="I16" s="12">
        <f>G16*H16</f>
        <v/>
      </c>
      <c r="J16" s="13" t="n">
        <v>3000</v>
      </c>
      <c r="K16" s="13">
        <f>G16*J16</f>
        <v/>
      </c>
      <c r="L16" s="13">
        <f>K16*F16</f>
        <v/>
      </c>
      <c r="M16" s="8" t="inlineStr">
        <is>
          <t>2 wk</t>
        </is>
      </c>
      <c r="N16" s="9" t="inlineStr">
        <is>
          <t>Sizing §13: vibration fatigue is the real structural driver, and unbalanced props are the main source.</t>
        </is>
      </c>
      <c r="O16" s="9" t="inlineStr">
        <is>
          <t>Easily made in-house.</t>
        </is>
      </c>
    </row>
    <row r="17" ht="23.85" customHeight="1" s="45">
      <c r="A17" s="8" t="n">
        <v>12</v>
      </c>
      <c r="B17" s="9" t="inlineStr">
        <is>
          <t>Camera calibration target</t>
        </is>
      </c>
      <c r="C17" s="9" t="inlineStr">
        <is>
          <t>A2 checkerboard on a rigid flat board + AprilTag set</t>
        </is>
      </c>
      <c r="D17" s="9" t="inlineStr">
        <is>
          <t>Indian printer + local rigid mounting</t>
        </is>
      </c>
      <c r="E17" s="10" t="inlineStr">
        <is>
          <t>I1</t>
        </is>
      </c>
      <c r="F17" s="11" t="n">
        <v>1</v>
      </c>
      <c r="G17" s="8" t="n">
        <v>1</v>
      </c>
      <c r="H17" s="12" t="n">
        <v>900</v>
      </c>
      <c r="I17" s="12">
        <f>G17*H17</f>
        <v/>
      </c>
      <c r="J17" s="13" t="n">
        <v>3000</v>
      </c>
      <c r="K17" s="13">
        <f>G17*J17</f>
        <v/>
      </c>
      <c r="L17" s="13">
        <f>K17*F17</f>
        <v/>
      </c>
      <c r="M17" s="8" t="inlineStr">
        <is>
          <t>1 wk</t>
        </is>
      </c>
      <c r="N17" s="9" t="inlineStr">
        <is>
          <t>Sizing §11: intrinsics AND the boresight extrinsic. Skipping the second leaves a 3-5 m systematic geotag bias.</t>
        </is>
      </c>
      <c r="O17" s="9" t="inlineStr">
        <is>
          <t>Flatness matters — mount on aluminium composite, not paper.</t>
        </is>
      </c>
    </row>
    <row r="18" ht="15" customHeight="1" s="45">
      <c r="A18" s="6" t="inlineStr">
        <is>
          <t>BENCH AND FABRICATION</t>
        </is>
      </c>
      <c r="B18" s="7" t="n"/>
      <c r="C18" s="7" t="n"/>
      <c r="D18" s="7" t="n"/>
      <c r="E18" s="7" t="n"/>
      <c r="F18" s="7" t="n"/>
      <c r="G18" s="7" t="n"/>
      <c r="H18" s="7" t="n"/>
      <c r="I18" s="7" t="n"/>
      <c r="J18" s="7" t="n"/>
      <c r="K18" s="7" t="n"/>
      <c r="L18" s="7" t="n"/>
      <c r="M18" s="7" t="n"/>
      <c r="N18" s="7" t="n"/>
      <c r="O18" s="7" t="n"/>
    </row>
    <row r="19" ht="23.85" customHeight="1" s="45">
      <c r="A19" s="8" t="n">
        <v>13</v>
      </c>
      <c r="B19" s="9" t="inlineStr">
        <is>
          <t>Soldering station</t>
        </is>
      </c>
      <c r="C19" s="9" t="inlineStr">
        <is>
          <t>Temperature-controlled 80-100 W with a large chisel tip</t>
        </is>
      </c>
      <c r="D19" s="9" t="inlineStr">
        <is>
          <t>Soldron (Indian) / Metcal India</t>
        </is>
      </c>
      <c r="E19" s="10" t="inlineStr">
        <is>
          <t>I1</t>
        </is>
      </c>
      <c r="F19" s="11" t="n">
        <v>0.9</v>
      </c>
      <c r="G19" s="8" t="n">
        <v>1</v>
      </c>
      <c r="H19" s="12" t="n">
        <v>2500</v>
      </c>
      <c r="I19" s="12">
        <f>G19*H19</f>
        <v/>
      </c>
      <c r="J19" s="13" t="n">
        <v>9000</v>
      </c>
      <c r="K19" s="13">
        <f>G19*J19</f>
        <v/>
      </c>
      <c r="L19" s="13">
        <f>K19*F19</f>
        <v/>
      </c>
      <c r="M19" s="8" t="inlineStr">
        <is>
          <t>2 wk</t>
        </is>
      </c>
      <c r="N19" s="9" t="inlineStr">
        <is>
          <t>10 AWG to a high-current connector needs real thermal mass. A 30 W iron gives cold joints and in-flight failures.</t>
        </is>
      </c>
      <c r="O19" s="9" t="inlineStr">
        <is>
          <t>Soldron is an established Indian brand.</t>
        </is>
      </c>
    </row>
    <row r="20" ht="15" customHeight="1" s="45">
      <c r="A20" s="8" t="n">
        <v>14</v>
      </c>
      <c r="B20" s="9" t="inlineStr">
        <is>
          <t>Hot air rework + heat gun</t>
        </is>
      </c>
      <c r="C20" s="9" t="inlineStr">
        <is>
          <t>SMD rework and heat shrink</t>
        </is>
      </c>
      <c r="D20" s="9" t="inlineStr">
        <is>
          <t>Indian distributor</t>
        </is>
      </c>
      <c r="E20" s="14" t="inlineStr">
        <is>
          <t>I3</t>
        </is>
      </c>
      <c r="F20" s="11" t="n">
        <v>0.4</v>
      </c>
      <c r="G20" s="8" t="n">
        <v>1</v>
      </c>
      <c r="H20" s="12" t="n">
        <v>3000</v>
      </c>
      <c r="I20" s="12">
        <f>G20*H20</f>
        <v/>
      </c>
      <c r="J20" s="13" t="n">
        <v>6500</v>
      </c>
      <c r="K20" s="13">
        <f>G20*J20</f>
        <v/>
      </c>
      <c r="L20" s="13">
        <f>K20*F20</f>
        <v/>
      </c>
      <c r="M20" s="8" t="inlineStr">
        <is>
          <t>2 wk</t>
        </is>
      </c>
      <c r="N20" s="9" t="inlineStr">
        <is>
          <t>—</t>
        </is>
      </c>
      <c r="O20" s="9" t="inlineStr">
        <is>
          <t>—</t>
        </is>
      </c>
    </row>
    <row r="21" ht="23.85" customHeight="1" s="45">
      <c r="A21" s="8" t="n">
        <v>15</v>
      </c>
      <c r="B21" s="9" t="inlineStr">
        <is>
          <t>Bench power supply</t>
        </is>
      </c>
      <c r="C21" s="9" t="inlineStr">
        <is>
          <t>0-30 V 10 A, current-limited</t>
        </is>
      </c>
      <c r="D21" s="9" t="inlineStr">
        <is>
          <t>Aplab / Scientific Mes-Technik (Indian)</t>
        </is>
      </c>
      <c r="E21" s="10" t="inlineStr">
        <is>
          <t>I1</t>
        </is>
      </c>
      <c r="F21" s="11" t="n">
        <v>0.8</v>
      </c>
      <c r="G21" s="8" t="n">
        <v>1</v>
      </c>
      <c r="H21" s="12" t="n">
        <v>4000</v>
      </c>
      <c r="I21" s="12">
        <f>G21*H21</f>
        <v/>
      </c>
      <c r="J21" s="13" t="n">
        <v>8500</v>
      </c>
      <c r="K21" s="13">
        <f>G21*J21</f>
        <v/>
      </c>
      <c r="L21" s="13">
        <f>K21*F21</f>
        <v/>
      </c>
      <c r="M21" s="8" t="inlineStr">
        <is>
          <t>2 wk</t>
        </is>
      </c>
      <c r="N21" s="9" t="inlineStr">
        <is>
          <t>Bring up new boards current-limited. Saves at least one compute module.</t>
        </is>
      </c>
      <c r="O21" s="9" t="inlineStr">
        <is>
          <t>—</t>
        </is>
      </c>
    </row>
    <row r="22" ht="15" customHeight="1" s="45">
      <c r="A22" s="8" t="n">
        <v>16</v>
      </c>
      <c r="B22" s="9" t="inlineStr">
        <is>
          <t>Multimeter</t>
        </is>
      </c>
      <c r="C22" s="9" t="inlineStr">
        <is>
          <t>True-RMS, 10 A range</t>
        </is>
      </c>
      <c r="D22" s="9" t="inlineStr">
        <is>
          <t>Meco Instruments (Mumbai)</t>
        </is>
      </c>
      <c r="E22" s="10" t="inlineStr">
        <is>
          <t>I1</t>
        </is>
      </c>
      <c r="F22" s="11" t="n">
        <v>0.8</v>
      </c>
      <c r="G22" s="8" t="n">
        <v>2</v>
      </c>
      <c r="H22" s="12" t="n">
        <v>350</v>
      </c>
      <c r="I22" s="12">
        <f>G22*H22</f>
        <v/>
      </c>
      <c r="J22" s="13" t="n">
        <v>4000</v>
      </c>
      <c r="K22" s="13">
        <f>G22*J22</f>
        <v/>
      </c>
      <c r="L22" s="13">
        <f>K22*F22</f>
        <v/>
      </c>
      <c r="M22" s="8" t="inlineStr">
        <is>
          <t>1 wk</t>
        </is>
      </c>
      <c r="N22" s="9" t="inlineStr">
        <is>
          <t>—</t>
        </is>
      </c>
      <c r="O22" s="9" t="inlineStr">
        <is>
          <t>Meco manufactures in India.</t>
        </is>
      </c>
    </row>
    <row r="23" ht="35.1" customHeight="1" s="45">
      <c r="A23" s="8" t="n">
        <v>17</v>
      </c>
      <c r="B23" s="9" t="inlineStr">
        <is>
          <t>3D printer</t>
        </is>
      </c>
      <c r="C23" s="9" t="inlineStr">
        <is>
          <t>FDM, 250 mm bed, PETG/ASA capable</t>
        </is>
      </c>
      <c r="D23" s="9" t="inlineStr">
        <is>
          <t>Fracktal Works (Bengaluru) / Divide By Zero (Mumbai) / AHA 3D (Jaipur)</t>
        </is>
      </c>
      <c r="E23" s="10" t="inlineStr">
        <is>
          <t>I1</t>
        </is>
      </c>
      <c r="F23" s="11" t="n">
        <v>0.8</v>
      </c>
      <c r="G23" s="8" t="n">
        <v>1</v>
      </c>
      <c r="H23" s="12" t="n">
        <v>12000</v>
      </c>
      <c r="I23" s="12">
        <f>G23*H23</f>
        <v/>
      </c>
      <c r="J23" s="13" t="n">
        <v>50000</v>
      </c>
      <c r="K23" s="13">
        <f>G23*J23</f>
        <v/>
      </c>
      <c r="L23" s="13">
        <f>K23*F23</f>
        <v/>
      </c>
      <c r="M23" s="8" t="inlineStr">
        <is>
          <t>3 wk</t>
        </is>
      </c>
      <c r="N23" s="9" t="inlineStr">
        <is>
          <t>Canopy, magazine, ducts, jigs, and dozens of release-mechanism iterations. Owning one beats outsourcing.</t>
        </is>
      </c>
      <c r="O23" s="9" t="inlineStr">
        <is>
          <t>Genuine Indian 3D printer manufacturers with local support.</t>
        </is>
      </c>
    </row>
    <row r="24" ht="23.85" customHeight="1" s="45">
      <c r="A24" s="8" t="n">
        <v>18</v>
      </c>
      <c r="B24" s="9" t="inlineStr">
        <is>
          <t>Hand tool set</t>
        </is>
      </c>
      <c r="C24" s="9" t="inlineStr">
        <is>
          <t>Hex, Torx, pliers, strippers, flush cutters, tweezers</t>
        </is>
      </c>
      <c r="D24" s="9" t="inlineStr">
        <is>
          <t>Taparia / Groz / Jhalani (Indian)</t>
        </is>
      </c>
      <c r="E24" s="10" t="inlineStr">
        <is>
          <t>I1</t>
        </is>
      </c>
      <c r="F24" s="11" t="n">
        <v>1</v>
      </c>
      <c r="G24" s="8" t="n">
        <v>1</v>
      </c>
      <c r="H24" s="12" t="n">
        <v>2500</v>
      </c>
      <c r="I24" s="12">
        <f>G24*H24</f>
        <v/>
      </c>
      <c r="J24" s="13" t="n">
        <v>7500</v>
      </c>
      <c r="K24" s="13">
        <f>G24*J24</f>
        <v/>
      </c>
      <c r="L24" s="13">
        <f>K24*F24</f>
        <v/>
      </c>
      <c r="M24" s="8" t="inlineStr">
        <is>
          <t>1 wk</t>
        </is>
      </c>
      <c r="N24" s="9" t="inlineStr">
        <is>
          <t>—</t>
        </is>
      </c>
      <c r="O24" s="9" t="inlineStr">
        <is>
          <t>Indian hand tools are excellent and cheap.</t>
        </is>
      </c>
    </row>
    <row r="25" ht="23.85" customHeight="1" s="45">
      <c r="A25" s="8" t="n">
        <v>19</v>
      </c>
      <c r="B25" s="9" t="inlineStr">
        <is>
          <t>Rotary tool + CF dust extraction</t>
        </is>
      </c>
      <c r="C25" s="9" t="inlineStr">
        <is>
          <t>Rotary tool, diamond discs, extraction, P2 masks</t>
        </is>
      </c>
      <c r="D25" s="9" t="inlineStr">
        <is>
          <t>Indian distributor + local extraction rig</t>
        </is>
      </c>
      <c r="E25" s="10" t="inlineStr">
        <is>
          <t>I2</t>
        </is>
      </c>
      <c r="F25" s="11" t="n">
        <v>0.5</v>
      </c>
      <c r="G25" s="8" t="n">
        <v>1</v>
      </c>
      <c r="H25" s="12" t="n">
        <v>1800</v>
      </c>
      <c r="I25" s="12">
        <f>G25*H25</f>
        <v/>
      </c>
      <c r="J25" s="13" t="n">
        <v>8500</v>
      </c>
      <c r="K25" s="13">
        <f>G25*J25</f>
        <v/>
      </c>
      <c r="L25" s="13">
        <f>K25*F25</f>
        <v/>
      </c>
      <c r="M25" s="8" t="inlineStr">
        <is>
          <t>2 wk</t>
        </is>
      </c>
      <c r="N25" s="9" t="inlineStr">
        <is>
          <t>CARBON DUST IS A RESPIRATORY AND ELECTRICAL HAZARD. Extraction and masks are not optional.</t>
        </is>
      </c>
      <c r="O25" s="9" t="inlineStr">
        <is>
          <t>—</t>
        </is>
      </c>
    </row>
    <row r="26" ht="15" customHeight="1" s="45">
      <c r="A26" s="6" t="inlineStr">
        <is>
          <t>SIMULATION AND DEVELOPMENT</t>
        </is>
      </c>
      <c r="B26" s="7" t="n"/>
      <c r="C26" s="7" t="n"/>
      <c r="D26" s="7" t="n"/>
      <c r="E26" s="7" t="n"/>
      <c r="F26" s="7" t="n"/>
      <c r="G26" s="7" t="n"/>
      <c r="H26" s="7" t="n"/>
      <c r="I26" s="7" t="n"/>
      <c r="J26" s="7" t="n"/>
      <c r="K26" s="7" t="n"/>
      <c r="L26" s="7" t="n"/>
      <c r="M26" s="7" t="n"/>
      <c r="N26" s="7" t="n"/>
      <c r="O26" s="7" t="n"/>
    </row>
    <row r="27" ht="46.2" customHeight="1" s="45">
      <c r="A27" s="8" t="n">
        <v>20</v>
      </c>
      <c r="B27" s="9" t="inlineStr">
        <is>
          <t>Dev workstation / GPU</t>
        </is>
      </c>
      <c r="C27" s="9" t="inlineStr">
        <is>
          <t>RTX-class GPU, 32 GB RAM, for model training and SITL</t>
        </is>
      </c>
      <c r="D27" s="9" t="inlineStr">
        <is>
          <t>Indian-assembled workstation (VVDN / Dixon / local integrator)</t>
        </is>
      </c>
      <c r="E27" s="14" t="inlineStr">
        <is>
          <t>I3</t>
        </is>
      </c>
      <c r="F27" s="11" t="n">
        <v>0.2</v>
      </c>
      <c r="G27" s="8" t="n">
        <v>0</v>
      </c>
      <c r="H27" s="12" t="n">
        <v>0</v>
      </c>
      <c r="I27" s="12">
        <f>G27*H27</f>
        <v/>
      </c>
      <c r="J27" s="13" t="n">
        <v>165000</v>
      </c>
      <c r="K27" s="13">
        <f>G27*J27</f>
        <v/>
      </c>
      <c r="L27" s="13">
        <f>K27*F27</f>
        <v/>
      </c>
      <c r="M27" s="8" t="inlineStr">
        <is>
          <t>3 wk</t>
        </is>
      </c>
      <c r="N27" s="9" t="inlineStr">
        <is>
          <t>CUT -- the largest single line in the programme. Detector training and the 200-run Monte Carlo move to Indian GPU cloud (tab 06 line 13, raised to INR 75,000). Cloud is cheaper than the capex, and MORE indigenous: E2E / Yotta / NxtGen score I1 at 0.9 against I3 at 0.2 for an assembled RTX box. Annotation (CVAT) and SITL run on the two GCS laptops. Reinstate at INR 165,000 only if sustained offline training becomes the bottleneck.</t>
        </is>
      </c>
      <c r="O27" s="9" t="inlineStr">
        <is>
          <t>GPU silicon imported. Alternative: Indian GPU cloud (E2E Networks, Yotta, NxtGen) — a genuinely indigenous compute option for TRAINING, and NIDAR winners receive cloud credits.</t>
        </is>
      </c>
    </row>
    <row r="28" ht="15" customHeight="1" s="45">
      <c r="A28" s="8" t="n">
        <v>21</v>
      </c>
      <c r="B28" s="9" t="inlineStr">
        <is>
          <t>Network switch and cabling</t>
        </is>
      </c>
      <c r="C28" s="9" t="inlineStr">
        <is>
          <t>8-port gigabit switch, patch cables</t>
        </is>
      </c>
      <c r="D28" s="9" t="inlineStr">
        <is>
          <t>Indian networking supplier</t>
        </is>
      </c>
      <c r="E28" s="14" t="inlineStr">
        <is>
          <t>I3</t>
        </is>
      </c>
      <c r="F28" s="11" t="n">
        <v>0.3</v>
      </c>
      <c r="G28" s="8" t="n">
        <v>1</v>
      </c>
      <c r="H28" s="12" t="n">
        <v>600</v>
      </c>
      <c r="I28" s="12">
        <f>G28*H28</f>
        <v/>
      </c>
      <c r="J28" s="13" t="n">
        <v>3000</v>
      </c>
      <c r="K28" s="13">
        <f>G28*J28</f>
        <v/>
      </c>
      <c r="L28" s="13">
        <f>K28*F28</f>
        <v/>
      </c>
      <c r="M28" s="8" t="inlineStr">
        <is>
          <t>1 wk</t>
        </is>
      </c>
      <c r="N28" s="9" t="inlineStr">
        <is>
          <t>Multi-machine SITL and mesh bench testing.</t>
        </is>
      </c>
      <c r="O28" s="9" t="inlineStr">
        <is>
          <t>—</t>
        </is>
      </c>
    </row>
    <row r="29" ht="15" customHeight="1" s="45">
      <c r="B29" s="47" t="inlineStr">
        <is>
          <t>TOTAL</t>
        </is>
      </c>
      <c r="F29" s="17">
        <f>L29/K29</f>
        <v/>
      </c>
      <c r="I29" s="18">
        <f>SUM(I5:I28)</f>
        <v/>
      </c>
      <c r="K29" s="19">
        <f>SUM(K5:K28)</f>
        <v/>
      </c>
      <c r="L29" s="19">
        <f>SUM(L5:L28)</f>
        <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O22"/>
  <sheetViews>
    <sheetView zoomScaleNormal="100" workbookViewId="0">
      <pane ySplit="3" topLeftCell="A4" activePane="bottomLeft" state="frozen"/>
      <selection pane="bottomLeft" activeCell="A1" sqref="A1"/>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s>
  <sheetData>
    <row r="1" ht="17.4" customHeight="1" s="45">
      <c r="A1" s="1" t="inlineStr">
        <is>
          <t>05 — SPARES AND CONSUMABLES, INDIAN SOURCES</t>
        </is>
      </c>
    </row>
    <row r="2" ht="15" customHeight="1" s="45">
      <c r="A2" s="2" t="inlineStr">
        <is>
          <t>Domestic sourcing shortens spares lead time from 4-6 weeks to 2-3 — which is worth more than the price saving when something breaks in week 28.</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row>
    <row r="4" ht="15" customHeight="1" s="45">
      <c r="A4" s="6" t="inlineStr">
        <is>
          <t>FLIGHT SPARES — Development Plan R4: a crash near the finals must not end the programme</t>
        </is>
      </c>
      <c r="B4" s="7" t="n"/>
      <c r="C4" s="7" t="n"/>
      <c r="D4" s="7" t="n"/>
      <c r="E4" s="7" t="n"/>
      <c r="F4" s="7" t="n"/>
      <c r="G4" s="7" t="n"/>
      <c r="H4" s="7" t="n"/>
      <c r="I4" s="7" t="n"/>
      <c r="J4" s="7" t="n"/>
      <c r="K4" s="7" t="n"/>
      <c r="L4" s="7" t="n"/>
      <c r="M4" s="7" t="n"/>
      <c r="N4" s="7" t="n"/>
      <c r="O4" s="7" t="n"/>
    </row>
    <row r="5" ht="23.85" customHeight="1" s="45">
      <c r="A5" s="8" t="n">
        <v>1</v>
      </c>
      <c r="B5" s="9" t="inlineStr">
        <is>
          <t>Spare motors</t>
        </is>
      </c>
      <c r="C5" s="9" t="inlineStr">
        <is>
          <t>One full aircraft set</t>
        </is>
      </c>
      <c r="D5" s="9" t="inlineStr">
        <is>
          <t>Bharath Components / Mechtex</t>
        </is>
      </c>
      <c r="E5" s="10" t="inlineStr">
        <is>
          <t>I1</t>
        </is>
      </c>
      <c r="F5" s="11" t="n">
        <v>0.9</v>
      </c>
      <c r="G5" s="8" t="n">
        <v>4</v>
      </c>
      <c r="H5" s="12" t="n">
        <v>150</v>
      </c>
      <c r="I5" s="12">
        <f>G5*H5</f>
        <v/>
      </c>
      <c r="J5" s="13" t="n">
        <v>7000</v>
      </c>
      <c r="K5" s="13">
        <f>G5*J5</f>
        <v/>
      </c>
      <c r="L5" s="13">
        <f>K5*F5</f>
        <v/>
      </c>
      <c r="M5" s="8" t="inlineStr">
        <is>
          <t>3-4 wk</t>
        </is>
      </c>
      <c r="N5" s="9" t="inlineStr">
        <is>
          <t>Motors are the longest-lead flight-critical item — and domestic lead time beats import by weeks.</t>
        </is>
      </c>
      <c r="O5" s="9" t="inlineStr">
        <is>
          <t>—</t>
        </is>
      </c>
    </row>
    <row r="6" ht="15" customHeight="1" s="45">
      <c r="A6" s="8" t="n">
        <v>2</v>
      </c>
      <c r="B6" s="9" t="inlineStr">
        <is>
          <t>Spare ESCs</t>
        </is>
      </c>
      <c r="C6" s="9" t="inlineStr">
        <is>
          <t>One full set</t>
        </is>
      </c>
      <c r="D6" s="9" t="inlineStr">
        <is>
          <t>Flameback Tech</t>
        </is>
      </c>
      <c r="E6" s="10" t="inlineStr">
        <is>
          <t>I1</t>
        </is>
      </c>
      <c r="F6" s="11" t="n">
        <v>0.8</v>
      </c>
      <c r="G6" s="8" t="n">
        <v>4</v>
      </c>
      <c r="H6" s="12" t="n">
        <v>48</v>
      </c>
      <c r="I6" s="12">
        <f>G6*H6</f>
        <v/>
      </c>
      <c r="J6" s="13" t="n">
        <v>3000</v>
      </c>
      <c r="K6" s="13">
        <f>G6*J6</f>
        <v/>
      </c>
      <c r="L6" s="13">
        <f>K6*F6</f>
        <v/>
      </c>
      <c r="M6" s="8" t="inlineStr">
        <is>
          <t>2-3 wk</t>
        </is>
      </c>
      <c r="N6" s="9" t="inlineStr">
        <is>
          <t>ESCs fail from vibration and heat.</t>
        </is>
      </c>
      <c r="O6" s="9" t="inlineStr">
        <is>
          <t>—</t>
        </is>
      </c>
    </row>
    <row r="7" ht="23.85" customHeight="1" s="45">
      <c r="A7" s="8" t="n">
        <v>3</v>
      </c>
      <c r="B7" s="9" t="inlineStr">
        <is>
          <t>Spare propeller pairs</t>
        </is>
      </c>
      <c r="C7" s="9" t="inlineStr">
        <is>
          <t>18 x 6.1 CF folding</t>
        </is>
      </c>
      <c r="D7" s="9" t="inlineStr">
        <is>
          <t>S R Aerospace / Bharath Components</t>
        </is>
      </c>
      <c r="E7" s="10" t="inlineStr">
        <is>
          <t>I2</t>
        </is>
      </c>
      <c r="F7" s="11" t="n">
        <v>0.7</v>
      </c>
      <c r="G7" s="8" t="n">
        <v>6</v>
      </c>
      <c r="H7" s="12" t="n">
        <v>116</v>
      </c>
      <c r="I7" s="12">
        <f>G7*H7</f>
        <v/>
      </c>
      <c r="J7" s="13" t="n">
        <v>2200</v>
      </c>
      <c r="K7" s="13">
        <f>G7*J7</f>
        <v/>
      </c>
      <c r="L7" s="13">
        <f>K7*F7</f>
        <v/>
      </c>
      <c r="M7" s="8" t="inlineStr">
        <is>
          <t>3 wk</t>
        </is>
      </c>
      <c r="N7" s="9" t="inlineStr">
        <is>
          <t>Props are consumed by every hard landing.</t>
        </is>
      </c>
      <c r="O7" s="9" t="inlineStr">
        <is>
          <t>—</t>
        </is>
      </c>
    </row>
    <row r="8" ht="23.85" customHeight="1" s="45">
      <c r="A8" s="8" t="n">
        <v>4</v>
      </c>
      <c r="B8" s="9" t="inlineStr">
        <is>
          <t>Spare arm assemblies</t>
        </is>
      </c>
      <c r="C8" s="9" t="inlineStr">
        <is>
          <t>Tube + clamp + mount, pre-built</t>
        </is>
      </c>
      <c r="D8" s="9" t="inlineStr">
        <is>
          <t>In-house</t>
        </is>
      </c>
      <c r="E8" s="10" t="inlineStr">
        <is>
          <t>I2</t>
        </is>
      </c>
      <c r="F8" s="11" t="n">
        <v>0.75</v>
      </c>
      <c r="G8" s="8" t="n">
        <v>4</v>
      </c>
      <c r="H8" s="12" t="n">
        <v>162</v>
      </c>
      <c r="I8" s="12">
        <f>G8*H8</f>
        <v/>
      </c>
      <c r="J8" s="13" t="n">
        <v>2200</v>
      </c>
      <c r="K8" s="13">
        <f>G8*J8</f>
        <v/>
      </c>
      <c r="L8" s="13">
        <f>K8*F8</f>
        <v/>
      </c>
      <c r="M8" s="8" t="inlineStr">
        <is>
          <t>2 wk</t>
        </is>
      </c>
      <c r="N8" s="9" t="inlineStr">
        <is>
          <t>Arms are what break in a tip-over. Pre-build so a field repair is a 10-minute swap.</t>
        </is>
      </c>
      <c r="O8" s="9" t="inlineStr">
        <is>
          <t>—</t>
        </is>
      </c>
    </row>
    <row r="9" ht="23.85" customHeight="1" s="45">
      <c r="A9" s="8" t="n">
        <v>5</v>
      </c>
      <c r="B9" s="9" t="inlineStr">
        <is>
          <t>Spare flight controller</t>
        </is>
      </c>
      <c r="C9" s="9" t="inlineStr">
        <is>
          <t>Pre-flashed with the frozen parameter set</t>
        </is>
      </c>
      <c r="D9" s="9" t="inlineStr">
        <is>
          <t>Agam Robotics</t>
        </is>
      </c>
      <c r="E9" s="10" t="inlineStr">
        <is>
          <t>I2</t>
        </is>
      </c>
      <c r="F9" s="11" t="n">
        <v>0.6</v>
      </c>
      <c r="G9" s="8" t="n">
        <v>1</v>
      </c>
      <c r="H9" s="12" t="n">
        <v>50</v>
      </c>
      <c r="I9" s="12">
        <f>G9*H9</f>
        <v/>
      </c>
      <c r="J9" s="13" t="n">
        <v>26000</v>
      </c>
      <c r="K9" s="13">
        <f>G9*J9</f>
        <v/>
      </c>
      <c r="L9" s="13">
        <f>K9*F9</f>
        <v/>
      </c>
      <c r="M9" s="8" t="inlineStr">
        <is>
          <t>3-4 wk</t>
        </is>
      </c>
      <c r="N9" s="9" t="inlineStr">
        <is>
          <t>Development Plan P10 config freeze.</t>
        </is>
      </c>
      <c r="O9" s="9" t="inlineStr">
        <is>
          <t>—</t>
        </is>
      </c>
    </row>
    <row r="10" ht="15" customHeight="1" s="45">
      <c r="A10" s="8" t="n">
        <v>6</v>
      </c>
      <c r="B10" s="9" t="inlineStr">
        <is>
          <t>Spare GNSS</t>
        </is>
      </c>
      <c r="C10" s="9" t="inlineStr">
        <is>
          <t>NavIC receiver + antenna</t>
        </is>
      </c>
      <c r="D10" s="9" t="inlineStr">
        <is>
          <t>Teravolt Labs / Accord</t>
        </is>
      </c>
      <c r="E10" s="10" t="inlineStr">
        <is>
          <t>I2</t>
        </is>
      </c>
      <c r="F10" s="11" t="n">
        <v>0.6</v>
      </c>
      <c r="G10" s="8" t="n">
        <v>1</v>
      </c>
      <c r="H10" s="12" t="n">
        <v>90</v>
      </c>
      <c r="I10" s="12">
        <f>G10*H10</f>
        <v/>
      </c>
      <c r="J10" s="13" t="n">
        <v>18000</v>
      </c>
      <c r="K10" s="13">
        <f>G10*J10</f>
        <v/>
      </c>
      <c r="L10" s="13">
        <f>K10*F10</f>
        <v/>
      </c>
      <c r="M10" s="8" t="inlineStr">
        <is>
          <t>3 wk</t>
        </is>
      </c>
      <c r="N10" s="9" t="inlineStr">
        <is>
          <t>—</t>
        </is>
      </c>
      <c r="O10" s="9" t="inlineStr">
        <is>
          <t>—</t>
        </is>
      </c>
    </row>
    <row r="11" ht="23.85" customHeight="1" s="45">
      <c r="A11" s="8" t="n">
        <v>7</v>
      </c>
      <c r="B11" s="9" t="inlineStr">
        <is>
          <t>Spare compute module</t>
        </is>
      </c>
      <c r="C11" s="9" t="inlineStr">
        <is>
          <t>Imaged, with the inference engine pre-built</t>
        </is>
      </c>
      <c r="D11" s="9" t="inlineStr">
        <is>
          <t>As per tab 01</t>
        </is>
      </c>
      <c r="E11" s="15" t="inlineStr">
        <is>
          <t>I4</t>
        </is>
      </c>
      <c r="F11" s="11" t="n">
        <v>0.25</v>
      </c>
      <c r="G11" s="8" t="n">
        <v>1</v>
      </c>
      <c r="H11" s="12" t="n">
        <v>200</v>
      </c>
      <c r="I11" s="12">
        <f>G11*H11</f>
        <v/>
      </c>
      <c r="J11" s="13" t="n">
        <v>38000</v>
      </c>
      <c r="K11" s="13">
        <f>G11*J11</f>
        <v/>
      </c>
      <c r="L11" s="13">
        <f>K11*F11</f>
        <v/>
      </c>
      <c r="M11" s="8" t="inlineStr">
        <is>
          <t>4-8 wk</t>
        </is>
      </c>
      <c r="N11" s="9" t="inlineStr">
        <is>
          <t>Sizing S15: never build the inference engine at boot. The spare must be imaged and warm-cached too. Tracks tab 01 line 33.</t>
        </is>
      </c>
      <c r="O11" s="9" t="inlineStr">
        <is>
          <t>Same import gap as the primary.</t>
        </is>
      </c>
    </row>
    <row r="12" ht="23.85" customHeight="1" s="45">
      <c r="A12" s="8" t="n">
        <v>8</v>
      </c>
      <c r="B12" s="9" t="inlineStr">
        <is>
          <t>Spare camera + lens</t>
        </is>
      </c>
      <c r="C12" s="9" t="inlineStr">
        <is>
          <t>Boresight-calibrated on a spare mount</t>
        </is>
      </c>
      <c r="D12" s="9" t="inlineStr">
        <is>
          <t>e-con Systems</t>
        </is>
      </c>
      <c r="E12" s="10" t="inlineStr">
        <is>
          <t>I2</t>
        </is>
      </c>
      <c r="F12" s="11" t="n">
        <v>0.6</v>
      </c>
      <c r="G12" s="8" t="n">
        <v>1</v>
      </c>
      <c r="H12" s="12" t="n">
        <v>105</v>
      </c>
      <c r="I12" s="12">
        <f>G12*H12</f>
        <v/>
      </c>
      <c r="J12" s="13" t="n">
        <v>16600</v>
      </c>
      <c r="K12" s="13">
        <f>G12*J12</f>
        <v/>
      </c>
      <c r="L12" s="13">
        <f>K12*F12</f>
        <v/>
      </c>
      <c r="M12" s="8" t="inlineStr">
        <is>
          <t>3-4 wk</t>
        </is>
      </c>
      <c r="N12" s="9" t="inlineStr">
        <is>
          <t>Swapping the camera invalidates the boresight calibration — calibrate the spare in advance.</t>
        </is>
      </c>
      <c r="O12" s="9" t="inlineStr">
        <is>
          <t>—</t>
        </is>
      </c>
    </row>
    <row r="13" ht="23.85" customHeight="1" s="45">
      <c r="A13" s="8" t="n">
        <v>9</v>
      </c>
      <c r="B13" s="9" t="inlineStr">
        <is>
          <t>Spare battery packs</t>
        </is>
      </c>
      <c r="C13" s="9" t="inlineStr">
        <is>
          <t>Complete 6S3P packs</t>
        </is>
      </c>
      <c r="D13" s="9" t="inlineStr">
        <is>
          <t>Indian pack house</t>
        </is>
      </c>
      <c r="E13" s="10" t="inlineStr">
        <is>
          <t>I1</t>
        </is>
      </c>
      <c r="F13" s="11" t="n">
        <v>0.85</v>
      </c>
      <c r="G13" s="8" t="n">
        <v>3</v>
      </c>
      <c r="H13" s="12" t="n">
        <v>1500</v>
      </c>
      <c r="I13" s="12">
        <f>G13*H13</f>
        <v/>
      </c>
      <c r="J13" s="13" t="n">
        <v>19000</v>
      </c>
      <c r="K13" s="13">
        <f>G13*J13</f>
        <v/>
      </c>
      <c r="L13" s="13">
        <f>K13*F13</f>
        <v/>
      </c>
      <c r="M13" s="8" t="inlineStr">
        <is>
          <t>3 wk</t>
        </is>
      </c>
      <c r="N13" s="9" t="inlineStr">
        <is>
          <t>Two packs per aircraft minimum so a test day is not charger-limited; the third is the crash reserve.</t>
        </is>
      </c>
      <c r="O13" s="9" t="inlineStr">
        <is>
          <t>—</t>
        </is>
      </c>
    </row>
    <row r="14" ht="35.1" customHeight="1" s="45">
      <c r="A14" s="8" t="n">
        <v>10</v>
      </c>
      <c r="B14" s="9" t="inlineStr">
        <is>
          <t>Spare airframe structure set</t>
        </is>
      </c>
      <c r="C14" s="9" t="inlineStr">
        <is>
          <t>Fourth frame kit: arms, clamps, centre plates, motor mounts, landing gear, tray, canopy, fasteners</t>
        </is>
      </c>
      <c r="D14" s="9" t="inlineStr">
        <is>
          <t>In-house from this BOM</t>
        </is>
      </c>
      <c r="E14" s="10" t="inlineStr">
        <is>
          <t>I2</t>
        </is>
      </c>
      <c r="F14" s="11" t="n">
        <v>0.75</v>
      </c>
      <c r="G14" s="8" t="n">
        <v>1</v>
      </c>
      <c r="H14" s="12" t="n">
        <v>1300</v>
      </c>
      <c r="I14" s="12">
        <f>G14*H14</f>
        <v/>
      </c>
      <c r="J14" s="13" t="n">
        <v>25000</v>
      </c>
      <c r="K14" s="13">
        <f>G14*J14</f>
        <v/>
      </c>
      <c r="L14" s="13">
        <f>K14*F14</f>
        <v/>
      </c>
      <c r="M14" s="8" t="inlineStr">
        <is>
          <t>3 wk</t>
        </is>
      </c>
      <c r="N14" s="9" t="inlineStr">
        <is>
          <t>REPLACES the INR 1.65 L complete fourth aircraft. Lines 1-9 above already hold a full set of motors, ESCs, props, arms, FC, GNSS, compute, camera and three packs -- INR 2.1 L, i.e. everything a fourth airframe needs EXCEPT the structure. Buying a whole aircraft on top of that bought most of it twice. This line buys the missing half, and its 2-3 wk lead is the part that cannot be compressed after a crash.</t>
        </is>
      </c>
      <c r="O14" s="9" t="inlineStr">
        <is>
          <t>RISK ACCEPTED: rebuilding consumes the spares, so a second failure in the same week is uncovered. Rule C1 needs only 2 aircraft flying. Reinstate the complete fourth aircraft at INR 165,000 if funding allows -- it is a schedule hedge, not a capability.</t>
        </is>
      </c>
    </row>
    <row r="15" ht="15" customHeight="1" s="45">
      <c r="A15" s="6" t="inlineStr">
        <is>
          <t>CONSUMABLES</t>
        </is>
      </c>
      <c r="B15" s="7" t="n"/>
      <c r="C15" s="7" t="n"/>
      <c r="D15" s="7" t="n"/>
      <c r="E15" s="7" t="n"/>
      <c r="F15" s="7" t="n"/>
      <c r="G15" s="7" t="n"/>
      <c r="H15" s="7" t="n"/>
      <c r="I15" s="7" t="n"/>
      <c r="J15" s="7" t="n"/>
      <c r="K15" s="7" t="n"/>
      <c r="L15" s="7" t="n"/>
      <c r="M15" s="7" t="n"/>
      <c r="N15" s="7" t="n"/>
      <c r="O15" s="7" t="n"/>
    </row>
    <row r="16" ht="23.85" customHeight="1" s="45">
      <c r="A16" s="8" t="n">
        <v>11</v>
      </c>
      <c r="B16" s="9" t="inlineStr">
        <is>
          <t>Threadlocker and adhesives</t>
        </is>
      </c>
      <c r="C16" s="9" t="inlineStr">
        <is>
          <t>Medium-strength threadlocker, CA, structural epoxy</t>
        </is>
      </c>
      <c r="D16" s="9" t="inlineStr">
        <is>
          <t>Pidilite / Anabond (Indian adhesive manufacturers)</t>
        </is>
      </c>
      <c r="E16" s="10" t="inlineStr">
        <is>
          <t>I1</t>
        </is>
      </c>
      <c r="F16" s="11" t="n">
        <v>0.9</v>
      </c>
      <c r="G16" s="8" t="n">
        <v>1</v>
      </c>
      <c r="H16" s="12" t="n">
        <v>450</v>
      </c>
      <c r="I16" s="12">
        <f>G16*H16</f>
        <v/>
      </c>
      <c r="J16" s="13" t="n">
        <v>2500</v>
      </c>
      <c r="K16" s="13">
        <f>G16*J16</f>
        <v/>
      </c>
      <c r="L16" s="13">
        <f>K16*F16</f>
        <v/>
      </c>
      <c r="M16" s="8" t="inlineStr">
        <is>
          <t>1 wk</t>
        </is>
      </c>
      <c r="N16" s="9" t="inlineStr">
        <is>
          <t>Every fastener on a vibrating airframe. Medium strength so field disassembly stays possible.</t>
        </is>
      </c>
      <c r="O16" s="9" t="inlineStr">
        <is>
          <t>Anabond and Pidilite are strong Indian adhesive makers.</t>
        </is>
      </c>
    </row>
    <row r="17" ht="23.85" customHeight="1" s="45">
      <c r="A17" s="8" t="n">
        <v>12</v>
      </c>
      <c r="B17" s="9" t="inlineStr">
        <is>
          <t>Heat shrink, tape, lacing</t>
        </is>
      </c>
      <c r="C17" s="9" t="inlineStr">
        <is>
          <t>Adhesive-lined shrink, Kapton, fibreglass tape, lacing cord, zip ties</t>
        </is>
      </c>
      <c r="D17" s="9" t="inlineStr">
        <is>
          <t>Local electrical supplier</t>
        </is>
      </c>
      <c r="E17" s="10" t="inlineStr">
        <is>
          <t>I1</t>
        </is>
      </c>
      <c r="F17" s="11" t="n">
        <v>1</v>
      </c>
      <c r="G17" s="8" t="n">
        <v>1</v>
      </c>
      <c r="H17" s="12" t="n">
        <v>620</v>
      </c>
      <c r="I17" s="12">
        <f>G17*H17</f>
        <v/>
      </c>
      <c r="J17" s="13" t="n">
        <v>2400</v>
      </c>
      <c r="K17" s="13">
        <f>G17*J17</f>
        <v/>
      </c>
      <c r="L17" s="13">
        <f>K17*F17</f>
        <v/>
      </c>
      <c r="M17" s="8" t="inlineStr">
        <is>
          <t>1 wk</t>
        </is>
      </c>
      <c r="N17" s="9" t="inlineStr">
        <is>
          <t>—</t>
        </is>
      </c>
      <c r="O17" s="9" t="inlineStr">
        <is>
          <t>—</t>
        </is>
      </c>
    </row>
    <row r="18" ht="23.85" customHeight="1" s="45">
      <c r="A18" s="8" t="n">
        <v>13</v>
      </c>
      <c r="B18" s="9" t="inlineStr">
        <is>
          <t>Solder and flux</t>
        </is>
      </c>
      <c r="C18" s="9" t="inlineStr">
        <is>
          <t>60/40 1 mm, no-clean flux, desoldering braid</t>
        </is>
      </c>
      <c r="D18" s="9" t="inlineStr">
        <is>
          <t>Indian solder manufacturer</t>
        </is>
      </c>
      <c r="E18" s="10" t="inlineStr">
        <is>
          <t>I1</t>
        </is>
      </c>
      <c r="F18" s="11" t="n">
        <v>0.8</v>
      </c>
      <c r="G18" s="8" t="n">
        <v>1</v>
      </c>
      <c r="H18" s="12" t="n">
        <v>500</v>
      </c>
      <c r="I18" s="12">
        <f>G18*H18</f>
        <v/>
      </c>
      <c r="J18" s="13" t="n">
        <v>1600</v>
      </c>
      <c r="K18" s="13">
        <f>G18*J18</f>
        <v/>
      </c>
      <c r="L18" s="13">
        <f>K18*F18</f>
        <v/>
      </c>
      <c r="M18" s="8" t="inlineStr">
        <is>
          <t>1 wk</t>
        </is>
      </c>
      <c r="N18" s="9" t="inlineStr">
        <is>
          <t>—</t>
        </is>
      </c>
      <c r="O18" s="9" t="inlineStr">
        <is>
          <t>—</t>
        </is>
      </c>
    </row>
    <row r="19" ht="23.85" customHeight="1" s="45">
      <c r="A19" s="8" t="n">
        <v>14</v>
      </c>
      <c r="B19" s="9" t="inlineStr">
        <is>
          <t>3D printer filament</t>
        </is>
      </c>
      <c r="C19" s="9" t="inlineStr">
        <is>
          <t>PETG 3 kg, ASA 1 kg, TPU 1 kg</t>
        </is>
      </c>
      <c r="D19" s="9" t="inlineStr">
        <is>
          <t>WOL3D / Fila3D / Indian extruders</t>
        </is>
      </c>
      <c r="E19" s="10" t="inlineStr">
        <is>
          <t>I2</t>
        </is>
      </c>
      <c r="F19" s="11" t="n">
        <v>0.5</v>
      </c>
      <c r="G19" s="8" t="n">
        <v>1</v>
      </c>
      <c r="H19" s="12" t="n">
        <v>5000</v>
      </c>
      <c r="I19" s="12">
        <f>G19*H19</f>
        <v/>
      </c>
      <c r="J19" s="13" t="n">
        <v>7500</v>
      </c>
      <c r="K19" s="13">
        <f>G19*J19</f>
        <v/>
      </c>
      <c r="L19" s="13">
        <f>K19*F19</f>
        <v/>
      </c>
      <c r="M19" s="8" t="inlineStr">
        <is>
          <t>1-2 wk</t>
        </is>
      </c>
      <c r="N19" s="9" t="inlineStr">
        <is>
          <t>Magazine and canopy iterations consume more than you expect.</t>
        </is>
      </c>
      <c r="O19" s="9" t="inlineStr">
        <is>
          <t>Extrusion Indian, resin pellets imported.</t>
        </is>
      </c>
    </row>
    <row r="20" ht="23.85" customHeight="1" s="45">
      <c r="A20" s="8" t="n">
        <v>15</v>
      </c>
      <c r="B20" s="9" t="inlineStr">
        <is>
          <t>Carbon plate stock</t>
        </is>
      </c>
      <c r="C20" s="9" t="inlineStr">
        <is>
          <t>2.5 and 3 mm sheets, 400 x 500 mm</t>
        </is>
      </c>
      <c r="D20" s="9" t="inlineStr">
        <is>
          <t>Kineco / Composite Technology Park</t>
        </is>
      </c>
      <c r="E20" s="10" t="inlineStr">
        <is>
          <t>I2</t>
        </is>
      </c>
      <c r="F20" s="11" t="n">
        <v>0.7</v>
      </c>
      <c r="G20" s="8" t="n">
        <v>2</v>
      </c>
      <c r="H20" s="12" t="n">
        <v>900</v>
      </c>
      <c r="I20" s="12">
        <f>G20*H20</f>
        <v/>
      </c>
      <c r="J20" s="13" t="n">
        <v>6500</v>
      </c>
      <c r="K20" s="13">
        <f>G20*J20</f>
        <v/>
      </c>
      <c r="L20" s="13">
        <f>K20*F20</f>
        <v/>
      </c>
      <c r="M20" s="8" t="inlineStr">
        <is>
          <t>3 wk</t>
        </is>
      </c>
      <c r="N20" s="9" t="inlineStr">
        <is>
          <t>Plate re-cuts and repair doublers.</t>
        </is>
      </c>
      <c r="O20" s="9" t="inlineStr">
        <is>
          <t>—</t>
        </is>
      </c>
    </row>
    <row r="21" ht="23.85" customHeight="1" s="45">
      <c r="A21" s="8" t="n">
        <v>16</v>
      </c>
      <c r="B21" s="9" t="inlineStr">
        <is>
          <t>PPE and cleaning</t>
        </is>
      </c>
      <c r="C21" s="9" t="inlineStr">
        <is>
          <t>Nitrile gloves, P2 masks, IPA, lint-free wipes, compressed air</t>
        </is>
      </c>
      <c r="D21" s="9" t="inlineStr">
        <is>
          <t>Local</t>
        </is>
      </c>
      <c r="E21" s="10" t="inlineStr">
        <is>
          <t>I1</t>
        </is>
      </c>
      <c r="F21" s="11" t="n">
        <v>1</v>
      </c>
      <c r="G21" s="8" t="n">
        <v>1</v>
      </c>
      <c r="H21" s="12" t="n">
        <v>1800</v>
      </c>
      <c r="I21" s="12">
        <f>G21*H21</f>
        <v/>
      </c>
      <c r="J21" s="13" t="n">
        <v>3000</v>
      </c>
      <c r="K21" s="13">
        <f>G21*J21</f>
        <v/>
      </c>
      <c r="L21" s="13">
        <f>K21*F21</f>
        <v/>
      </c>
      <c r="M21" s="8" t="inlineStr">
        <is>
          <t>1 wk</t>
        </is>
      </c>
      <c r="N21" s="9" t="inlineStr">
        <is>
          <t>CF machining, epoxy work, lens and connector cleaning.</t>
        </is>
      </c>
      <c r="O21" s="9" t="inlineStr">
        <is>
          <t>—</t>
        </is>
      </c>
    </row>
    <row r="22" ht="15" customHeight="1" s="45">
      <c r="B22" s="47" t="inlineStr">
        <is>
          <t>TOTAL</t>
        </is>
      </c>
      <c r="F22" s="17">
        <f>L22/K22</f>
        <v/>
      </c>
      <c r="I22" s="18">
        <f>SUM(I5:I21)</f>
        <v/>
      </c>
      <c r="K22" s="19">
        <f>SUM(K5:K21)</f>
        <v/>
      </c>
      <c r="L22" s="19">
        <f>SUM(L5:L21)</f>
        <v/>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O24"/>
  <sheetViews>
    <sheetView zoomScaleNormal="100" workbookViewId="0">
      <pane ySplit="3" topLeftCell="A4" activePane="bottomLeft" state="frozen"/>
      <selection pane="bottomLeft" activeCell="A1" sqref="A1"/>
    </sheetView>
  </sheetViews>
  <sheetFormatPr baseColWidth="8" defaultColWidth="8.6640625" defaultRowHeight="14.4"/>
  <cols>
    <col width="4" customWidth="1" style="45" min="1" max="1"/>
    <col width="24" customWidth="1" style="45" min="2" max="2"/>
    <col width="32" customWidth="1" style="45" min="3" max="3"/>
    <col width="26" customWidth="1" style="45" min="4" max="4"/>
    <col width="6" customWidth="1" style="45" min="5" max="5"/>
    <col width="7" customWidth="1" style="45" min="6" max="6"/>
    <col width="5" customWidth="1" style="45" min="7" max="7"/>
    <col width="10" customWidth="1" style="45" min="8" max="8"/>
    <col width="11" customWidth="1" style="45" min="9" max="9"/>
    <col width="12" customWidth="1" style="45" min="10" max="11"/>
    <col width="13" customWidth="1" style="45" min="12" max="12"/>
    <col width="9" customWidth="1" style="45" min="13" max="13"/>
    <col width="54" customWidth="1" style="45" min="14" max="14"/>
    <col width="44" customWidth="1" style="45" min="15" max="15"/>
  </cols>
  <sheetData>
    <row r="1" ht="17.4" customHeight="1" s="45">
      <c r="A1" s="1" t="inlineStr">
        <is>
          <t>06 — SOFTWARE, DATA AND COMPLIANCE</t>
        </is>
      </c>
    </row>
    <row r="2" ht="15" customHeight="1" s="45">
      <c r="A2" s="2" t="inlineStr">
        <is>
          <t>Software is nation-neutral open source. The indigenous asset here is the Indian field dataset — build it, and consider publishing it.</t>
        </is>
      </c>
    </row>
    <row r="3" ht="31.5" customHeight="1" s="45">
      <c r="A3" s="5" t="inlineStr">
        <is>
          <t>#</t>
        </is>
      </c>
      <c r="B3" s="5" t="inlineStr">
        <is>
          <t>Component</t>
        </is>
      </c>
      <c r="C3" s="5" t="inlineStr">
        <is>
          <t>Indian part / specification</t>
        </is>
      </c>
      <c r="D3" s="5" t="inlineStr">
        <is>
          <t>Indian supplier (location)</t>
        </is>
      </c>
      <c r="E3" s="5" t="inlineStr">
        <is>
          <t>Tier</t>
        </is>
      </c>
      <c r="F3" s="5" t="inlineStr">
        <is>
          <t>Indig.
%</t>
        </is>
      </c>
      <c r="G3" s="5" t="inlineStr">
        <is>
          <t>Qty</t>
        </is>
      </c>
      <c r="H3" s="5" t="inlineStr">
        <is>
          <t>Unit
Mass (g)</t>
        </is>
      </c>
      <c r="I3" s="5" t="inlineStr">
        <is>
          <t>Total
Mass (g)</t>
        </is>
      </c>
      <c r="J3" s="5" t="inlineStr">
        <is>
          <t>Unit Price
(INR)</t>
        </is>
      </c>
      <c r="K3" s="5" t="inlineStr">
        <is>
          <t>Ext. Price
(INR)</t>
        </is>
      </c>
      <c r="L3" s="5" t="inlineStr">
        <is>
          <t>Indian
Value (INR)</t>
        </is>
      </c>
      <c r="M3" s="5" t="inlineStr">
        <is>
          <t>Lead
Time</t>
        </is>
      </c>
      <c r="N3" s="5" t="inlineStr">
        <is>
          <t>Why this part / sizing reference</t>
        </is>
      </c>
      <c r="O3" s="5" t="inlineStr">
        <is>
          <t>Indigenisation gap or action</t>
        </is>
      </c>
    </row>
    <row r="4" ht="15" customHeight="1" s="45">
      <c r="A4" s="6" t="inlineStr">
        <is>
          <t>FLIGHT, AUTONOMY AND PERCEPTION STACK — open source, zero licence cost</t>
        </is>
      </c>
      <c r="B4" s="7" t="n"/>
      <c r="C4" s="7" t="n"/>
      <c r="D4" s="7" t="n"/>
      <c r="E4" s="7" t="n"/>
      <c r="F4" s="7" t="n"/>
      <c r="G4" s="7" t="n"/>
      <c r="H4" s="7" t="n"/>
      <c r="I4" s="7" t="n"/>
      <c r="J4" s="7" t="n"/>
      <c r="K4" s="7" t="n"/>
      <c r="L4" s="7" t="n"/>
      <c r="M4" s="7" t="n"/>
      <c r="N4" s="7" t="n"/>
      <c r="O4" s="7" t="n"/>
    </row>
    <row r="5" ht="23.85" customHeight="1" s="45">
      <c r="A5" s="8" t="n">
        <v>1</v>
      </c>
      <c r="B5" s="9" t="inlineStr">
        <is>
          <t>Autopilot firmware</t>
        </is>
      </c>
      <c r="C5" s="9" t="inlineStr">
        <is>
          <t>ArduPilot Copter or PX4</t>
        </is>
      </c>
      <c r="D5" s="9" t="inlineStr">
        <is>
          <t>Open source; Indian FC vendors ship supported builds</t>
        </is>
      </c>
      <c r="E5" s="10" t="inlineStr">
        <is>
          <t>I1</t>
        </is>
      </c>
      <c r="F5" s="11" t="n">
        <v>1</v>
      </c>
      <c r="G5" s="8" t="n">
        <v>1</v>
      </c>
      <c r="H5" s="12" t="n">
        <v>0</v>
      </c>
      <c r="I5" s="12">
        <f>G5*H5</f>
        <v/>
      </c>
      <c r="J5" s="13" t="n">
        <v>0</v>
      </c>
      <c r="K5" s="13">
        <f>G5*J5</f>
        <v/>
      </c>
      <c r="L5" s="13">
        <f>K5*F5</f>
        <v/>
      </c>
      <c r="M5" s="8" t="inlineStr">
        <is>
          <t>—</t>
        </is>
      </c>
      <c r="N5" s="9" t="inlineStr">
        <is>
          <t>Sizing §1.</t>
        </is>
      </c>
      <c r="O5" s="9" t="inlineStr">
        <is>
          <t>Both Agam and several Indian FCs run the standard stack, so you keep the ecosystem.</t>
        </is>
      </c>
    </row>
    <row r="6" ht="23.85" customHeight="1" s="45">
      <c r="A6" s="8" t="n">
        <v>2</v>
      </c>
      <c r="B6" s="9" t="inlineStr">
        <is>
          <t>Middleware and bridge</t>
        </is>
      </c>
      <c r="C6" s="9" t="inlineStr">
        <is>
          <t>ROS 2 + Fast DDS, MAVROS or uXRCE-DDS</t>
        </is>
      </c>
      <c r="D6" s="9" t="inlineStr">
        <is>
          <t>Open source</t>
        </is>
      </c>
      <c r="E6" s="10" t="inlineStr">
        <is>
          <t>I1</t>
        </is>
      </c>
      <c r="F6" s="11" t="n">
        <v>1</v>
      </c>
      <c r="G6" s="8" t="n">
        <v>1</v>
      </c>
      <c r="H6" s="12" t="n">
        <v>0</v>
      </c>
      <c r="I6" s="12">
        <f>G6*H6</f>
        <v/>
      </c>
      <c r="J6" s="13" t="n">
        <v>0</v>
      </c>
      <c r="K6" s="13">
        <f>G6*J6</f>
        <v/>
      </c>
      <c r="L6" s="13">
        <f>K6*F6</f>
        <v/>
      </c>
      <c r="M6" s="8" t="inlineStr">
        <is>
          <t>—</t>
        </is>
      </c>
      <c r="N6" s="9" t="inlineStr">
        <is>
          <t>DDS discovery and QoS map well to a lossy mobile mesh.</t>
        </is>
      </c>
      <c r="O6" s="9" t="inlineStr">
        <is>
          <t>—</t>
        </is>
      </c>
    </row>
    <row r="7" ht="15" customHeight="1" s="45">
      <c r="A7" s="8" t="n">
        <v>3</v>
      </c>
      <c r="B7" s="9" t="inlineStr">
        <is>
          <t>MAVLink router</t>
        </is>
      </c>
      <c r="C7" s="9" t="inlineStr">
        <is>
          <t>mavlink-router / MAVProxy</t>
        </is>
      </c>
      <c r="D7" s="9" t="inlineStr">
        <is>
          <t>Open source</t>
        </is>
      </c>
      <c r="E7" s="10" t="inlineStr">
        <is>
          <t>I1</t>
        </is>
      </c>
      <c r="F7" s="11" t="n">
        <v>1</v>
      </c>
      <c r="G7" s="8" t="n">
        <v>1</v>
      </c>
      <c r="H7" s="12" t="n">
        <v>0</v>
      </c>
      <c r="I7" s="12">
        <f>G7*H7</f>
        <v/>
      </c>
      <c r="J7" s="13" t="n">
        <v>0</v>
      </c>
      <c r="K7" s="13">
        <f>G7*J7</f>
        <v/>
      </c>
      <c r="L7" s="13">
        <f>K7*F7</f>
        <v/>
      </c>
      <c r="M7" s="8" t="inlineStr">
        <is>
          <t>—</t>
        </is>
      </c>
      <c r="N7" s="9" t="inlineStr">
        <is>
          <t>Rule C10: multiplexes 3 SYSIDs into ONE ground station.</t>
        </is>
      </c>
      <c r="O7" s="9" t="inlineStr">
        <is>
          <t>—</t>
        </is>
      </c>
    </row>
    <row r="8" ht="23.85" customHeight="1" s="45">
      <c r="A8" s="8" t="n">
        <v>4</v>
      </c>
      <c r="B8" s="9" t="inlineStr">
        <is>
          <t>Mesh routing</t>
        </is>
      </c>
      <c r="C8" s="9" t="inlineStr">
        <is>
          <t>batman-adv</t>
        </is>
      </c>
      <c r="D8" s="9" t="inlineStr">
        <is>
          <t>Open source</t>
        </is>
      </c>
      <c r="E8" s="10" t="inlineStr">
        <is>
          <t>I1</t>
        </is>
      </c>
      <c r="F8" s="11" t="n">
        <v>1</v>
      </c>
      <c r="G8" s="8" t="n">
        <v>1</v>
      </c>
      <c r="H8" s="12" t="n">
        <v>0</v>
      </c>
      <c r="I8" s="12">
        <f>G8*H8</f>
        <v/>
      </c>
      <c r="J8" s="13" t="n">
        <v>0</v>
      </c>
      <c r="K8" s="13">
        <f>G8*J8</f>
        <v/>
      </c>
      <c r="L8" s="13">
        <f>K8*F8</f>
        <v/>
      </c>
      <c r="M8" s="8" t="inlineStr">
        <is>
          <t>—</t>
        </is>
      </c>
      <c r="N8" s="9" t="inlineStr">
        <is>
          <t>Layer-2 mesh — the same technology commercial MANET radios run underneath.</t>
        </is>
      </c>
      <c r="O8" s="9" t="inlineStr">
        <is>
          <t>—</t>
        </is>
      </c>
    </row>
    <row r="9" ht="23.85" customHeight="1" s="45">
      <c r="A9" s="8" t="n">
        <v>5</v>
      </c>
      <c r="B9" s="9" t="inlineStr">
        <is>
          <t>Simulator</t>
        </is>
      </c>
      <c r="C9" s="9" t="inlineStr">
        <is>
          <t>Gazebo + SITL</t>
        </is>
      </c>
      <c r="D9" s="9" t="inlineStr">
        <is>
          <t>Open source</t>
        </is>
      </c>
      <c r="E9" s="10" t="inlineStr">
        <is>
          <t>I1</t>
        </is>
      </c>
      <c r="F9" s="11" t="n">
        <v>1</v>
      </c>
      <c r="G9" s="8" t="n">
        <v>1</v>
      </c>
      <c r="H9" s="12" t="n">
        <v>0</v>
      </c>
      <c r="I9" s="12">
        <f>G9*H9</f>
        <v/>
      </c>
      <c r="J9" s="13" t="n">
        <v>0</v>
      </c>
      <c r="K9" s="13">
        <f>G9*J9</f>
        <v/>
      </c>
      <c r="L9" s="13">
        <f>K9*F9</f>
        <v/>
      </c>
      <c r="M9" s="8" t="inlineStr">
        <is>
          <t>—</t>
        </is>
      </c>
      <c r="N9" s="9" t="inlineStr">
        <is>
          <t>Development Plan P4: 200-run Monte Carlo before any hardware flies.</t>
        </is>
      </c>
      <c r="O9" s="9" t="inlineStr">
        <is>
          <t>—</t>
        </is>
      </c>
    </row>
    <row r="10" ht="15" customHeight="1" s="45">
      <c r="A10" s="8" t="n">
        <v>6</v>
      </c>
      <c r="B10" s="9" t="inlineStr">
        <is>
          <t>Coverage planner</t>
        </is>
      </c>
      <c r="C10" s="9" t="inlineStr">
        <is>
          <t>Static equal-area partition + boustrophedon, generated on the GCS (implementation-plan.md §1.3). DARP is presented as design, not implemented.</t>
        </is>
      </c>
      <c r="D10" s="9" t="inlineStr">
        <is>
          <t>Open source</t>
        </is>
      </c>
      <c r="E10" s="10" t="inlineStr">
        <is>
          <t>I1</t>
        </is>
      </c>
      <c r="F10" s="11" t="n">
        <v>1</v>
      </c>
      <c r="G10" s="8" t="n">
        <v>1</v>
      </c>
      <c r="H10" s="12" t="n">
        <v>0</v>
      </c>
      <c r="I10" s="12">
        <f>G10*H10</f>
        <v/>
      </c>
      <c r="J10" s="13" t="n">
        <v>0</v>
      </c>
      <c r="K10" s="13">
        <f>G10*J10</f>
        <v/>
      </c>
      <c r="L10" s="13">
        <f>K10*F10</f>
        <v/>
      </c>
      <c r="M10" s="8" t="inlineStr">
        <is>
          <t>—</t>
        </is>
      </c>
      <c r="N10" s="9" t="inlineStr">
        <is>
          <t>Equal-area partitioning anchored to a common launch point.</t>
        </is>
      </c>
      <c r="O10" s="9" t="inlineStr">
        <is>
          <t>—</t>
        </is>
      </c>
    </row>
    <row r="11" ht="15" customHeight="1" s="45">
      <c r="A11" s="8" t="n">
        <v>7</v>
      </c>
      <c r="B11" s="9" t="inlineStr">
        <is>
          <t>Task allocation</t>
        </is>
      </c>
      <c r="C11" s="9" t="inlineStr">
        <is>
          <t>Greedy claim-and-lock with deterministic tie-break (§1.4). CBBA is presented as design, not implemented.</t>
        </is>
      </c>
      <c r="D11" s="9" t="inlineStr">
        <is>
          <t>Open source</t>
        </is>
      </c>
      <c r="E11" s="10" t="inlineStr">
        <is>
          <t>I1</t>
        </is>
      </c>
      <c r="F11" s="11" t="n">
        <v>1</v>
      </c>
      <c r="G11" s="8" t="n">
        <v>1</v>
      </c>
      <c r="H11" s="12" t="n">
        <v>0</v>
      </c>
      <c r="I11" s="12">
        <f>G11*H11</f>
        <v/>
      </c>
      <c r="J11" s="13" t="n">
        <v>0</v>
      </c>
      <c r="K11" s="13">
        <f>G11*J11</f>
        <v/>
      </c>
      <c r="L11" s="13">
        <f>K11*F11</f>
        <v/>
      </c>
      <c r="M11" s="8" t="inlineStr">
        <is>
          <t>—</t>
        </is>
      </c>
      <c r="N11" s="9" t="inlineStr">
        <is>
          <t>Choi, Brunet &amp; How (2009): provable conflict-free convergence.</t>
        </is>
      </c>
      <c r="O11" s="9" t="inlineStr">
        <is>
          <t>—</t>
        </is>
      </c>
    </row>
    <row r="12" ht="35.1" customHeight="1" s="45">
      <c r="A12" s="8" t="n">
        <v>8</v>
      </c>
      <c r="B12" s="9" t="inlineStr">
        <is>
          <t>Detector and runtime</t>
        </is>
      </c>
      <c r="C12" s="9" t="inlineStr">
        <is>
          <t>YOLO-class detector + vendor inference runtime + SAHI tiling</t>
        </is>
      </c>
      <c r="D12" s="9" t="inlineStr">
        <is>
          <t>Open source</t>
        </is>
      </c>
      <c r="E12" s="10" t="inlineStr">
        <is>
          <t>I1</t>
        </is>
      </c>
      <c r="F12" s="11" t="n">
        <v>1</v>
      </c>
      <c r="G12" s="8" t="n">
        <v>1</v>
      </c>
      <c r="H12" s="12" t="n">
        <v>0</v>
      </c>
      <c r="I12" s="12">
        <f>G12*H12</f>
        <v/>
      </c>
      <c r="J12" s="13" t="n">
        <v>0</v>
      </c>
      <c r="K12" s="13">
        <f>G12*J12</f>
        <v/>
      </c>
      <c r="L12" s="13">
        <f>K12*F12</f>
        <v/>
      </c>
      <c r="M12" s="8" t="inlineStr">
        <is>
          <t>—</t>
        </is>
      </c>
      <c r="N12" s="9" t="inlineStr">
        <is>
          <t>Sizing §8.2.</t>
        </is>
      </c>
      <c r="O12" s="9" t="inlineStr">
        <is>
          <t>Check the AGPL terms of Ultralytics against NIDAR IP conditions; MMDetection (Apache 2.0) is the safe alternative.</t>
        </is>
      </c>
    </row>
    <row r="13" ht="23.85" customHeight="1" s="45">
      <c r="A13" s="8" t="n">
        <v>9</v>
      </c>
      <c r="B13" s="9" t="inlineStr">
        <is>
          <t>VEGA toolchain</t>
        </is>
      </c>
      <c r="C13" s="9" t="inlineStr">
        <is>
          <t>RISC-V GCC toolchain and BSP for the VEGA kits</t>
        </is>
      </c>
      <c r="D13" s="9" t="inlineStr">
        <is>
          <t>C-DAC (MeitY)</t>
        </is>
      </c>
      <c r="E13" s="10" t="inlineStr">
        <is>
          <t>I1</t>
        </is>
      </c>
      <c r="F13" s="11" t="n">
        <v>1</v>
      </c>
      <c r="G13" s="8" t="n">
        <v>1</v>
      </c>
      <c r="H13" s="12" t="n">
        <v>0</v>
      </c>
      <c r="I13" s="12">
        <f>G13*H13</f>
        <v/>
      </c>
      <c r="J13" s="13" t="n">
        <v>0</v>
      </c>
      <c r="K13" s="13">
        <f>G13*J13</f>
        <v/>
      </c>
      <c r="L13" s="13">
        <f>K13*F13</f>
        <v/>
      </c>
      <c r="M13" s="8" t="inlineStr">
        <is>
          <t>via NIDAR</t>
        </is>
      </c>
      <c r="N13" s="9" t="inlineStr">
        <is>
          <t>Supports the VEGA co-processor subsystem on tab 01.</t>
        </is>
      </c>
      <c r="O13" s="9" t="inlineStr">
        <is>
          <t>Fully indigenous. Engage C-DAC support early — the toolchain is younger than ARM equivalents.</t>
        </is>
      </c>
    </row>
    <row r="14" ht="15" customHeight="1" s="45">
      <c r="A14" s="6" t="inlineStr">
        <is>
          <t>DATA — THE MOST IMPORTANT INDIGENISATION ITEM ON THIS SHEET</t>
        </is>
      </c>
      <c r="B14" s="7" t="n"/>
      <c r="C14" s="7" t="n"/>
      <c r="D14" s="7" t="n"/>
      <c r="E14" s="7" t="n"/>
      <c r="F14" s="7" t="n"/>
      <c r="G14" s="7" t="n"/>
      <c r="H14" s="7" t="n"/>
      <c r="I14" s="7" t="n"/>
      <c r="J14" s="7" t="n"/>
      <c r="K14" s="7" t="n"/>
      <c r="L14" s="7" t="n"/>
      <c r="M14" s="7" t="n"/>
      <c r="N14" s="7" t="n"/>
      <c r="O14" s="7" t="n"/>
    </row>
    <row r="15" ht="68.7" customHeight="1" s="45">
      <c r="A15" s="8" t="n">
        <v>10</v>
      </c>
      <c r="B15" s="9" t="inlineStr">
        <is>
          <t>Indian SAR field dataset</t>
        </is>
      </c>
      <c r="C15" s="9" t="inlineStr">
        <is>
          <t>&gt;=2,000 annotated frames: your camera, your altitudes, Indian terrain, Indian clothing, Indian light</t>
        </is>
      </c>
      <c r="D15" s="9" t="inlineStr">
        <is>
          <t>In-house field campaign (Development Plan P7)</t>
        </is>
      </c>
      <c r="E15" s="10" t="inlineStr">
        <is>
          <t>I1</t>
        </is>
      </c>
      <c r="F15" s="11" t="n">
        <v>1</v>
      </c>
      <c r="G15" s="8" t="n">
        <v>1</v>
      </c>
      <c r="H15" s="12" t="n">
        <v>0</v>
      </c>
      <c r="I15" s="12">
        <f>G15*H15</f>
        <v/>
      </c>
      <c r="J15" s="13" t="n">
        <v>60000</v>
      </c>
      <c r="K15" s="13">
        <f>G15*J15</f>
        <v/>
      </c>
      <c r="L15" s="13">
        <f>K15*F15</f>
        <v/>
      </c>
      <c r="M15" s="8" t="inlineStr">
        <is>
          <t>12+ wk</t>
        </is>
      </c>
      <c r="N15" s="9" t="inlineStr">
        <is>
          <t>Development Plan P7 is the long pole. This is the single highest-leverage indigenous asset you will build.</t>
        </is>
      </c>
      <c r="O15" s="9" t="inlineStr">
        <is>
          <t>HERIDAL and SARD are European. Their terrain, vegetation, clothing and sun angle do not match an Indian flood plain. Use them for pre-training and benchmarking, then fine-tune on your own data. Cost is logistics: transport, volunteers, mannequins, annotation labour.</t>
        </is>
      </c>
    </row>
    <row r="16" ht="23.85" customHeight="1" s="45">
      <c r="A16" s="8" t="n">
        <v>11</v>
      </c>
      <c r="B16" s="9" t="inlineStr">
        <is>
          <t>Public datasets</t>
        </is>
      </c>
      <c r="C16" s="9" t="inlineStr">
        <is>
          <t>HERIDAL, SARD, WiSARD</t>
        </is>
      </c>
      <c r="D16" s="9" t="inlineStr">
        <is>
          <t>European research groups (free, on request)</t>
        </is>
      </c>
      <c r="E16" s="15" t="inlineStr">
        <is>
          <t>I4</t>
        </is>
      </c>
      <c r="F16" s="11" t="n">
        <v>0</v>
      </c>
      <c r="G16" s="8" t="n">
        <v>1</v>
      </c>
      <c r="H16" s="12" t="n">
        <v>0</v>
      </c>
      <c r="I16" s="12">
        <f>G16*H16</f>
        <v/>
      </c>
      <c r="J16" s="13" t="n">
        <v>0</v>
      </c>
      <c r="K16" s="13">
        <f>G16*J16</f>
        <v/>
      </c>
      <c r="L16" s="13">
        <f>K16*F16</f>
        <v/>
      </c>
      <c r="M16" s="8" t="inlineStr">
        <is>
          <t>2-4 wk</t>
        </is>
      </c>
      <c r="N16" s="9" t="inlineStr">
        <is>
          <t>Sizing §8: reproduce published metrics to validate your pipeline before trusting your own data.</t>
        </is>
      </c>
      <c r="O16" s="9" t="inlineStr">
        <is>
          <t>No Indian equivalent exists. Consider publishing yours — that alone is a strong NIDAR outcome.</t>
        </is>
      </c>
    </row>
    <row r="17" ht="23.85" customHeight="1" s="45">
      <c r="A17" s="8" t="n">
        <v>12</v>
      </c>
      <c r="B17" s="9" t="inlineStr">
        <is>
          <t>Annotation tooling</t>
        </is>
      </c>
      <c r="C17" s="9" t="inlineStr">
        <is>
          <t>CVAT, self-hosted</t>
        </is>
      </c>
      <c r="D17" s="9" t="inlineStr">
        <is>
          <t>Open source, hosted on Indian cloud</t>
        </is>
      </c>
      <c r="E17" s="10" t="inlineStr">
        <is>
          <t>I1</t>
        </is>
      </c>
      <c r="F17" s="11" t="n">
        <v>1</v>
      </c>
      <c r="G17" s="8" t="n">
        <v>1</v>
      </c>
      <c r="H17" s="12" t="n">
        <v>0</v>
      </c>
      <c r="I17" s="12">
        <f>G17*H17</f>
        <v/>
      </c>
      <c r="J17" s="13" t="n">
        <v>0</v>
      </c>
      <c r="K17" s="13">
        <f>G17*J17</f>
        <v/>
      </c>
      <c r="L17" s="13">
        <f>K17*F17</f>
        <v/>
      </c>
      <c r="M17" s="8" t="inlineStr">
        <is>
          <t>—</t>
        </is>
      </c>
      <c r="N17" s="9" t="inlineStr">
        <is>
          <t>Self-host to avoid per-seat cost on 2,000+ frames.</t>
        </is>
      </c>
      <c r="O17" s="9" t="inlineStr">
        <is>
          <t>—</t>
        </is>
      </c>
    </row>
    <row r="18" ht="23.85" customHeight="1" s="45">
      <c r="A18" s="8" t="n">
        <v>13</v>
      </c>
      <c r="B18" s="9" t="inlineStr">
        <is>
          <t>Training compute</t>
        </is>
      </c>
      <c r="C18" s="9" t="inlineStr">
        <is>
          <t>GPU hours for detector training and the SITL Monte Carlo</t>
        </is>
      </c>
      <c r="D18" s="9" t="inlineStr">
        <is>
          <t>E2E Networks / Yotta / NxtGen (Indian GPU cloud)</t>
        </is>
      </c>
      <c r="E18" s="10" t="inlineStr">
        <is>
          <t>I1</t>
        </is>
      </c>
      <c r="F18" s="11" t="n">
        <v>0.9</v>
      </c>
      <c r="G18" s="8" t="n">
        <v>1</v>
      </c>
      <c r="H18" s="12" t="n">
        <v>0</v>
      </c>
      <c r="I18" s="12">
        <f>G18*H18</f>
        <v/>
      </c>
      <c r="J18" s="13" t="n">
        <v>75000</v>
      </c>
      <c r="K18" s="13">
        <f>G18*J18</f>
        <v/>
      </c>
      <c r="L18" s="13">
        <f>K18*F18</f>
        <v/>
      </c>
      <c r="M18" s="8" t="inlineStr">
        <is>
          <t>—</t>
        </is>
      </c>
      <c r="N18" s="9" t="inlineStr">
        <is>
          <t>A genuinely indigenous option for training compute, unlike inference silicon. Raised from INR 40,000 to absorb the cut dev workstation (tab 04 line 20): net saving INR 1.30 L, and it moves INR 75,000 of spend from I3 0.2 to I1 0.9.</t>
        </is>
      </c>
      <c r="O18" s="9" t="inlineStr">
        <is>
          <t>NIDAR provides cloud credits to winning teams. Indian GPU cloud is a real and growing capability.</t>
        </is>
      </c>
    </row>
    <row r="19" ht="23.85" customHeight="1" s="45">
      <c r="A19" s="8" t="n">
        <v>14</v>
      </c>
      <c r="B19" s="9" t="inlineStr">
        <is>
          <t>Offline map tiles</t>
        </is>
      </c>
      <c r="C19" s="9" t="inlineStr">
        <is>
          <t>Cached basemap for the venue and all test sites Plus MediaMTX as the WebRTC video gateway: rule 8.14 needs a live feed from each drone, and three MJPEG streams would break the link budget.</t>
        </is>
      </c>
      <c r="D19" s="9" t="inlineStr">
        <is>
          <t>Survey of India / Bhuvan (ISRO) / OSM export</t>
        </is>
      </c>
      <c r="E19" s="10" t="inlineStr">
        <is>
          <t>I1</t>
        </is>
      </c>
      <c r="F19" s="11" t="n">
        <v>1</v>
      </c>
      <c r="G19" s="8" t="n">
        <v>1</v>
      </c>
      <c r="H19" s="12" t="n">
        <v>0</v>
      </c>
      <c r="I19" s="12">
        <f>G19*H19</f>
        <v/>
      </c>
      <c r="J19" s="13" t="n">
        <v>0</v>
      </c>
      <c r="K19" s="13">
        <f>G19*J19</f>
        <v/>
      </c>
      <c r="L19" s="13">
        <f>K19*F19</f>
        <v/>
      </c>
      <c r="M19" s="8" t="inlineStr">
        <is>
          <t>1 wk</t>
        </is>
      </c>
      <c r="N19" s="9" t="inlineStr">
        <is>
          <t>RULE C12 FORBIDS INTERNET — online tiles will not load at the venue. Teams lose points to this every year.</t>
        </is>
      </c>
      <c r="O19" s="9" t="inlineStr">
        <is>
          <t>ISRO Bhuvan imagery is Indian, free, and appropriate for the C11 boundary display. Cache it in advance.</t>
        </is>
      </c>
    </row>
    <row r="20" ht="15" customHeight="1" s="45">
      <c r="A20" s="6" t="inlineStr">
        <is>
          <t>REGULATORY AND ADMIN</t>
        </is>
      </c>
      <c r="B20" s="7" t="n"/>
      <c r="C20" s="7" t="n"/>
      <c r="D20" s="7" t="n"/>
      <c r="E20" s="7" t="n"/>
      <c r="F20" s="7" t="n"/>
      <c r="G20" s="7" t="n"/>
      <c r="H20" s="7" t="n"/>
      <c r="I20" s="7" t="n"/>
      <c r="J20" s="7" t="n"/>
      <c r="K20" s="7" t="n"/>
      <c r="L20" s="7" t="n"/>
      <c r="M20" s="7" t="n"/>
      <c r="N20" s="7" t="n"/>
      <c r="O20" s="7" t="n"/>
    </row>
    <row r="21" ht="23.85" customHeight="1" s="45">
      <c r="A21" s="8" t="n">
        <v>15</v>
      </c>
      <c r="B21" s="9" t="inlineStr">
        <is>
          <t>DGCA airspace and operations</t>
        </is>
      </c>
      <c r="C21" s="9" t="inlineStr">
        <is>
          <t>Zone check for every test site, operator and pilot requirements</t>
        </is>
      </c>
      <c r="D21" s="9" t="inlineStr">
        <is>
          <t>DGCA Digital Sky</t>
        </is>
      </c>
      <c r="E21" s="10" t="inlineStr">
        <is>
          <t>I1</t>
        </is>
      </c>
      <c r="F21" s="11" t="n">
        <v>1</v>
      </c>
      <c r="G21" s="8" t="n">
        <v>1</v>
      </c>
      <c r="H21" s="12" t="n">
        <v>0</v>
      </c>
      <c r="I21" s="12">
        <f>G21*H21</f>
        <v/>
      </c>
      <c r="J21" s="13" t="n">
        <v>5000</v>
      </c>
      <c r="K21" s="13">
        <f>G21*J21</f>
        <v/>
      </c>
      <c r="L21" s="13">
        <f>K21*F21</f>
        <v/>
      </c>
      <c r="M21" s="8" t="inlineStr">
        <is>
          <t>2-4 wk</t>
        </is>
      </c>
      <c r="N21" s="9" t="inlineStr">
        <is>
          <t>Development Plan P0 exit gate. Confirm the zone colour BEFORE booking a campaign.</t>
        </is>
      </c>
      <c r="O21" s="9" t="inlineStr">
        <is>
          <t>—</t>
        </is>
      </c>
    </row>
    <row r="22" ht="46.2" customHeight="1" s="45">
      <c r="A22" s="8" t="n">
        <v>16</v>
      </c>
      <c r="B22" s="9" t="inlineStr">
        <is>
          <t>WPC / ETA</t>
        </is>
      </c>
      <c r="C22" s="9" t="inlineStr">
        <is>
          <t>Equipment Type Approval for every radio flown</t>
        </is>
      </c>
      <c r="D22" s="9" t="inlineStr">
        <is>
          <t>WPC, DoT / supplier declarations</t>
        </is>
      </c>
      <c r="E22" s="10" t="inlineStr">
        <is>
          <t>I1</t>
        </is>
      </c>
      <c r="F22" s="11" t="n">
        <v>1</v>
      </c>
      <c r="G22" s="8" t="n">
        <v>1</v>
      </c>
      <c r="H22" s="12" t="n">
        <v>0</v>
      </c>
      <c r="I22" s="12">
        <f>G22*H22</f>
        <v/>
      </c>
      <c r="J22" s="13" t="n">
        <v>10000</v>
      </c>
      <c r="K22" s="13">
        <f>G22*J22</f>
        <v/>
      </c>
      <c r="L22" s="13">
        <f>K22*F22</f>
        <v/>
      </c>
      <c r="M22" s="8" t="inlineStr">
        <is>
          <t>4-8 wk</t>
        </is>
      </c>
      <c r="N22" s="9" t="inlineStr">
        <is>
          <t>Sizing §12: 5.825-5.875 GHz is delicensed for drones and 865-867 MHz for SRDs, but the EQUIPMENT still needs ETA.</t>
        </is>
      </c>
      <c r="O22" s="9" t="inlineStr">
        <is>
          <t>ADVANTAGE OF INDIAN SUPPLIERS: FxUAV and Indian RF houses design to Indian spectrum rules and can supply ETA documentation. Imported radios routinely cannot.</t>
        </is>
      </c>
    </row>
    <row r="23" ht="23.85" customHeight="1" s="45">
      <c r="A23" s="8" t="n">
        <v>17</v>
      </c>
      <c r="B23" s="9" t="inlineStr">
        <is>
          <t>Insurance</t>
        </is>
      </c>
      <c r="C23" s="9" t="inlineStr">
        <is>
          <t>Third-party liability for flight operations</t>
        </is>
      </c>
      <c r="D23" s="9" t="inlineStr">
        <is>
          <t>Indian insurer (drone liability products exist)</t>
        </is>
      </c>
      <c r="E23" s="10" t="inlineStr">
        <is>
          <t>I1</t>
        </is>
      </c>
      <c r="F23" s="11" t="n">
        <v>1</v>
      </c>
      <c r="G23" s="8" t="n">
        <v>1</v>
      </c>
      <c r="H23" s="12" t="n">
        <v>0</v>
      </c>
      <c r="I23" s="12">
        <f>G23*H23</f>
        <v/>
      </c>
      <c r="J23" s="13" t="n">
        <v>25000</v>
      </c>
      <c r="K23" s="13">
        <f>G23*J23</f>
        <v/>
      </c>
      <c r="L23" s="13">
        <f>K23*F23</f>
        <v/>
      </c>
      <c r="M23" s="8" t="inlineStr">
        <is>
          <t>3 wk</t>
        </is>
      </c>
      <c r="N23" s="9" t="inlineStr">
        <is>
          <t>Many test sites and institutions require it.</t>
        </is>
      </c>
      <c r="O23" s="9" t="inlineStr">
        <is>
          <t>—</t>
        </is>
      </c>
    </row>
    <row r="24" ht="15" customHeight="1" s="45">
      <c r="B24" s="47" t="inlineStr">
        <is>
          <t>TOTAL</t>
        </is>
      </c>
      <c r="F24" s="17">
        <f>L24/K24</f>
        <v/>
      </c>
      <c r="I24" s="18">
        <f>SUM(I5:I23)</f>
        <v/>
      </c>
      <c r="K24" s="19">
        <f>SUM(K5:K23)</f>
        <v/>
      </c>
      <c r="L24" s="19">
        <f>SUM(L5:L23)</f>
        <v/>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8"/>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45" min="1" max="1"/>
    <col width="42" customWidth="1" style="45" min="2" max="2"/>
    <col width="16" customWidth="1" style="45" min="3" max="5"/>
    <col width="14" customWidth="1" style="45" min="6" max="6"/>
    <col width="58" customWidth="1" style="45" min="7" max="7"/>
  </cols>
  <sheetData>
    <row r="1" ht="17.4" customHeight="1" s="45">
      <c r="A1" s="1" t="inlineStr">
        <is>
          <t>07 — MASS ROLLUP AND RULE C2 COMPLIANCE CHECK</t>
        </is>
      </c>
    </row>
    <row r="2" ht="15" customHeight="1" s="45">
      <c r="A2" s="2" t="inlineStr">
        <is>
          <t>Rule C2: combined all-up weight of ALL deployed drones, including batteries, payloads and every accessory, must not exceed 25 kg.</t>
        </is>
      </c>
    </row>
    <row r="4" ht="31.5" customHeight="1" s="45">
      <c r="A4" s="5" t="inlineStr">
        <is>
          <t>#</t>
        </is>
      </c>
      <c r="B4" s="5" t="inlineStr">
        <is>
          <t>Group</t>
        </is>
      </c>
      <c r="C4" s="5" t="inlineStr">
        <is>
          <t>Sizing model (g)</t>
        </is>
      </c>
      <c r="D4" s="5" t="inlineStr">
        <is>
          <t>Indian BOM (g)</t>
        </is>
      </c>
      <c r="E4" s="5" t="inlineStr">
        <is>
          <t>Actual measured (g)</t>
        </is>
      </c>
      <c r="F4" s="5" t="inlineStr">
        <is>
          <t>Delta vs model</t>
        </is>
      </c>
      <c r="G4" s="5" t="inlineStr">
        <is>
          <t>Note</t>
        </is>
      </c>
    </row>
    <row r="5" ht="23.85" customHeight="1" s="45">
      <c r="A5" s="20" t="n">
        <v>1</v>
      </c>
      <c r="B5" s="20" t="inlineStr">
        <is>
          <t>Structure</t>
        </is>
      </c>
      <c r="C5" s="21" t="n">
        <v>1187</v>
      </c>
      <c r="D5" s="22" t="n">
        <v>1240</v>
      </c>
      <c r="E5" s="23" t="n"/>
      <c r="F5" s="24">
        <f>D5-C5</f>
        <v/>
      </c>
      <c r="G5" s="25" t="inlineStr">
        <is>
          <t>Indian CF tube and plate are marginally heavier per the quoted wall thicknesses</t>
        </is>
      </c>
    </row>
    <row r="6" ht="15" customHeight="1" s="45">
      <c r="A6" s="20" t="n">
        <v>2</v>
      </c>
      <c r="B6" s="20" t="inlineStr">
        <is>
          <t>Propulsion (motors, ESCs, props, hubs)</t>
        </is>
      </c>
      <c r="C6" s="21" t="n">
        <v>934</v>
      </c>
      <c r="D6" s="22" t="n">
        <v>1032</v>
      </c>
      <c r="E6" s="23" t="n"/>
      <c r="F6" s="24">
        <f>D6-C6</f>
        <v/>
      </c>
      <c r="G6" s="25" t="inlineStr">
        <is>
          <t>Indian motors quoted at ~150 g vs 135 g for the imported reference</t>
        </is>
      </c>
    </row>
    <row r="7" ht="15" customHeight="1" s="45">
      <c r="A7" s="20" t="n">
        <v>3</v>
      </c>
      <c r="B7" s="20" t="inlineStr">
        <is>
          <t>Power (pack + distribution)</t>
        </is>
      </c>
      <c r="C7" s="21" t="n">
        <v>1724</v>
      </c>
      <c r="D7" s="22" t="n">
        <v>1780</v>
      </c>
      <c r="E7" s="23" t="n"/>
      <c r="F7" s="24">
        <f>D7-C7</f>
        <v/>
      </c>
      <c r="G7" s="25" t="inlineStr">
        <is>
          <t>Pack assembly mass from an Indian pack house, incl. holders and BMS</t>
        </is>
      </c>
    </row>
    <row r="8" ht="15" customHeight="1" s="45">
      <c r="A8" s="20" t="n">
        <v>4</v>
      </c>
      <c r="B8" s="20" t="inlineStr">
        <is>
          <t>Avionics</t>
        </is>
      </c>
      <c r="C8" s="21" t="n">
        <v>217</v>
      </c>
      <c r="D8" s="22" t="n">
        <v>262</v>
      </c>
      <c r="E8" s="23" t="n"/>
      <c r="F8" s="24">
        <f>D8-C8</f>
        <v/>
      </c>
      <c r="G8" s="25" t="inlineStr">
        <is>
          <t>Includes the VEGA co-processor board at ~60 g</t>
        </is>
      </c>
    </row>
    <row r="9" ht="15" customHeight="1" s="45">
      <c r="A9" s="20" t="n">
        <v>5</v>
      </c>
      <c r="B9" s="20" t="inlineStr">
        <is>
          <t>Compute &amp; perception</t>
        </is>
      </c>
      <c r="C9" s="21" t="n">
        <v>444</v>
      </c>
      <c r="D9" s="22" t="n">
        <v>460</v>
      </c>
      <c r="E9" s="23" t="n"/>
      <c r="F9" s="24">
        <f>D9-C9</f>
        <v/>
      </c>
      <c r="G9" s="25" t="inlineStr">
        <is>
          <t>Indian camera module and mount; imported SoM</t>
        </is>
      </c>
    </row>
    <row r="10" ht="15" customHeight="1" s="45">
      <c r="A10" s="20" t="n">
        <v>6</v>
      </c>
      <c r="B10" s="20" t="inlineStr">
        <is>
          <t>Communications</t>
        </is>
      </c>
      <c r="C10" s="21" t="n">
        <v>119</v>
      </c>
      <c r="D10" s="22" t="n">
        <v>117</v>
      </c>
      <c r="E10" s="23" t="n"/>
      <c r="F10" s="24">
        <f>D10-C10</f>
        <v/>
      </c>
      <c r="G10" s="25" t="inlineStr">
        <is>
          <t>FxUAV-class node plus Indian antennas</t>
        </is>
      </c>
    </row>
    <row r="11" ht="15" customHeight="1" s="45">
      <c r="A11" s="20" t="n">
        <v>7</v>
      </c>
      <c r="B11" s="20" t="inlineStr">
        <is>
          <t>Payload mechanism</t>
        </is>
      </c>
      <c r="C11" s="21" t="n">
        <v>240</v>
      </c>
      <c r="D11" s="22" t="n">
        <v>242</v>
      </c>
      <c r="E11" s="23" t="n"/>
      <c r="F11" s="24">
        <f>D11-C11</f>
        <v/>
      </c>
      <c r="G11" s="25" t="inlineStr">
        <is>
          <t>Magazine, servos, detents, switches, harness</t>
        </is>
      </c>
    </row>
    <row r="12" ht="15" customHeight="1" s="45">
      <c r="A12" s="20" t="n">
        <v>8</v>
      </c>
      <c r="B12" s="20" t="inlineStr">
        <is>
          <t>Survivor kits (4 x 200 g)</t>
        </is>
      </c>
      <c r="C12" s="21" t="n">
        <v>800</v>
      </c>
      <c r="D12" s="22" t="n">
        <v>800</v>
      </c>
      <c r="E12" s="23" t="n"/>
      <c r="F12" s="24">
        <f>D12-C12</f>
        <v/>
      </c>
      <c r="G12" s="25" t="inlineStr">
        <is>
          <t>Rule C6 fixes this at exactly 200 g per kit</t>
        </is>
      </c>
    </row>
    <row r="13">
      <c r="A13" t="n">
        <v>9</v>
      </c>
      <c r="B13" t="inlineStr">
        <is>
          <t>Safety (recovery parachute)</t>
        </is>
      </c>
      <c r="C13" t="n">
        <v>0</v>
      </c>
      <c r="D13" t="n">
        <v>300</v>
      </c>
      <c r="F13">
        <f>D13-C13</f>
        <v/>
      </c>
      <c r="G13" t="inlineStr">
        <is>
          <t>SYS-41. Not in the sizing model when written; the model has since been updated to match.</t>
        </is>
      </c>
    </row>
    <row r="14" ht="15" customHeight="1" s="45">
      <c r="B14" s="47" t="inlineStr">
        <is>
          <t>MTOW per aircraft (g)</t>
        </is>
      </c>
      <c r="D14" s="19">
        <f>SUM(D5:D13)</f>
        <v/>
      </c>
    </row>
    <row r="15" ht="15" customHeight="1" s="45">
      <c r="B15" s="44" t="inlineStr">
        <is>
          <t>Bottom-up line-item total, tab 01 (g)</t>
        </is>
      </c>
      <c r="D15" s="27">
        <f>'01 Air Vehicle BOM'!I61</f>
        <v/>
      </c>
    </row>
    <row r="16" ht="15" customHeight="1" s="45">
      <c r="B16" s="44" t="inlineStr">
        <is>
          <t>Aircraft in fleet</t>
        </is>
      </c>
      <c r="D16" s="27">
        <f>3</f>
        <v/>
      </c>
    </row>
    <row r="17" ht="15" customHeight="1" s="45">
      <c r="B17" s="47" t="inlineStr">
        <is>
          <t>FLEET ALL-UP WEIGHT (g)</t>
        </is>
      </c>
      <c r="D17" s="19">
        <f>D14*D16</f>
        <v/>
      </c>
    </row>
    <row r="18" ht="15" customHeight="1" s="45">
      <c r="B18" s="44" t="inlineStr">
        <is>
          <t>Rule C2 limit (g)</t>
        </is>
      </c>
      <c r="D18" s="27">
        <f>25000</f>
        <v/>
      </c>
    </row>
    <row r="19" ht="15" customHeight="1" s="45">
      <c r="B19" s="47" t="inlineStr">
        <is>
          <t>Margin to rule limit (g)</t>
        </is>
      </c>
      <c r="D19" s="19">
        <f>D18-D17</f>
        <v/>
      </c>
    </row>
    <row r="20" ht="15" customHeight="1" s="45">
      <c r="B20" s="47" t="inlineStr">
        <is>
          <t>Margin to rule limit (%)</t>
        </is>
      </c>
      <c r="D20" s="28">
        <f>(D18-D17)/D18</f>
        <v/>
      </c>
    </row>
    <row r="21" ht="15" customHeight="1" s="45">
      <c r="B21" s="47" t="inlineStr">
        <is>
          <t>Delta vs the imported BOM (g/aircraft)</t>
        </is>
      </c>
      <c r="D21" s="29">
        <f>D14-5665</f>
        <v/>
      </c>
    </row>
    <row r="23" ht="15" customHeight="1" s="45">
      <c r="B23" s="47" t="inlineStr">
        <is>
          <t>PERFORMANCE IMPACT OF INDIGENISATION</t>
        </is>
      </c>
    </row>
    <row r="24" ht="15" customHeight="1" s="45">
      <c r="B24" s="44" t="inlineStr">
        <is>
          <t>Mass rises ~265 g per aircraft (~4.7%), almost entirely from heavier Indian motors and the added VEGA co-processor board.</t>
        </is>
      </c>
    </row>
    <row r="25" ht="15" customHeight="1" s="45">
      <c r="B25" s="44" t="inlineStr">
        <is>
          <t>Fleet goes from ~17.0 kg to ~17.8 kg — margin under the 25 kg rule falls from 32% to ~29%. Still ample.</t>
        </is>
      </c>
    </row>
    <row r="26" ht="15" customHeight="1" s="45">
      <c r="B26" s="44" t="inlineStr">
        <is>
          <t>Hover power rises ~4% and endurance falls ~35 s. The design mission is 7.7 min against 30 min allowed, so this is immaterial.</t>
        </is>
      </c>
    </row>
    <row r="27" ht="15" customHeight="1" s="45">
      <c r="B27" s="44" t="inlineStr">
        <is>
          <t>NavIC is a net PERFORMANCE GAIN, not a compromise: more satellites overhead in India, faster time-to-first-fix (which directly helps the 5-minute setup window in Sizing §15), and a constellation fallback if GPS is degraded.</t>
        </is>
      </c>
    </row>
    <row r="28" ht="15" customHeight="1" s="45">
      <c r="B28" s="44" t="inlineStr">
        <is>
          <t>ACTION: re-run the sizing model with the quoted Indian motor mass and measured thrust curve as soon as the first RFQ comes back.</t>
        </is>
      </c>
    </row>
  </sheetData>
  <mergeCells count="5">
    <mergeCell ref="B24:G24"/>
    <mergeCell ref="B28:G28"/>
    <mergeCell ref="B27:G27"/>
    <mergeCell ref="B26:G26"/>
    <mergeCell ref="B25:G2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25"/>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45" min="1" max="1"/>
    <col width="44" customWidth="1" style="45" min="2" max="2"/>
    <col width="14" customWidth="1" style="45" min="3" max="3"/>
    <col width="16" customWidth="1" style="45" min="4" max="6"/>
    <col width="52" customWidth="1" style="45" min="7" max="7"/>
  </cols>
  <sheetData>
    <row r="1" ht="17.4" customHeight="1" s="45">
      <c r="A1" s="1" t="inlineStr">
        <is>
          <t>08 — PROGRAMME COST SUMMARY, INDIAN SOURCING</t>
        </is>
      </c>
    </row>
    <row r="2" ht="15" customHeight="1" s="45">
      <c r="A2" s="2" t="inlineStr">
        <is>
          <t>Indicative budgetary estimates in INR. Send RFQs in week 1 — Indian drone-component pricing is quotation-driven.</t>
        </is>
      </c>
    </row>
    <row r="4" ht="31.5" customHeight="1" s="45">
      <c r="A4" s="5" t="inlineStr">
        <is>
          <t>#</t>
        </is>
      </c>
      <c r="B4" s="5" t="inlineStr">
        <is>
          <t>Category</t>
        </is>
      </c>
      <c r="C4" s="5" t="inlineStr">
        <is>
          <t>Sets</t>
        </is>
      </c>
      <c r="D4" s="5" t="inlineStr">
        <is>
          <t>Unit Cost (INR)</t>
        </is>
      </c>
      <c r="E4" s="5" t="inlineStr">
        <is>
          <t>Extended (INR)</t>
        </is>
      </c>
      <c r="F4" s="5" t="inlineStr">
        <is>
          <t>Indian Value (INR)</t>
        </is>
      </c>
      <c r="G4" s="5" t="inlineStr">
        <is>
          <t>Note</t>
        </is>
      </c>
    </row>
    <row r="5" ht="15" customHeight="1" s="45">
      <c r="A5" s="20" t="n">
        <v>1</v>
      </c>
      <c r="B5" s="20" t="inlineStr">
        <is>
          <t>Air vehicle, per aircraft</t>
        </is>
      </c>
      <c r="C5" s="30" t="n">
        <v>3</v>
      </c>
      <c r="D5" s="21">
        <f>'01 Air Vehicle BOM'!K61</f>
        <v/>
      </c>
      <c r="E5" s="21">
        <f>C5*D5</f>
        <v/>
      </c>
      <c r="F5" s="21">
        <f>C5*'01 Air Vehicle BOM'!L61</f>
        <v/>
      </c>
      <c r="G5" s="25" t="inlineStr">
        <is>
          <t>Flight hardware. See tab 01.</t>
        </is>
      </c>
    </row>
    <row r="6" ht="15" customHeight="1" s="45">
      <c r="A6" s="20" t="n">
        <v>2</v>
      </c>
      <c r="B6" s="20" t="inlineStr">
        <is>
          <t>Payload, kits and ground-truth targets</t>
        </is>
      </c>
      <c r="C6" s="30" t="n">
        <v>1</v>
      </c>
      <c r="D6" s="21">
        <f>'02 Payload &amp; Kits'!K15</f>
        <v/>
      </c>
      <c r="E6" s="21">
        <f>C6*D6</f>
        <v/>
      </c>
      <c r="F6" s="21">
        <f>C6*'02 Payload &amp; Kits'!L15</f>
        <v/>
      </c>
      <c r="G6" s="25" t="inlineStr">
        <is>
          <t>Near-100% Indian.</t>
        </is>
      </c>
    </row>
    <row r="7" ht="15" customHeight="1" s="45">
      <c r="A7" s="20" t="n">
        <v>3</v>
      </c>
      <c r="B7" s="20" t="inlineStr">
        <is>
          <t>Ground segment and infrastructure</t>
        </is>
      </c>
      <c r="C7" s="30" t="n">
        <v>1</v>
      </c>
      <c r="D7" s="21">
        <f>'03 Ground Segment'!K31</f>
        <v/>
      </c>
      <c r="E7" s="21">
        <f>C7*D7</f>
        <v/>
      </c>
      <c r="F7" s="21">
        <f>C7*'03 Ground Segment'!L31</f>
        <v/>
      </c>
      <c r="G7" s="25" t="inlineStr">
        <is>
          <t>Computing is the weak spot.</t>
        </is>
      </c>
    </row>
    <row r="8" ht="15" customHeight="1" s="45">
      <c r="A8" s="20" t="n">
        <v>4</v>
      </c>
      <c r="B8" s="20" t="inlineStr">
        <is>
          <t>Test, lab and calibration equipment</t>
        </is>
      </c>
      <c r="C8" s="30" t="n">
        <v>1</v>
      </c>
      <c r="D8" s="21">
        <f>'04 Test &amp; Lab Equipment'!K29</f>
        <v/>
      </c>
      <c r="E8" s="21">
        <f>C8*D8</f>
        <v/>
      </c>
      <c r="F8" s="21">
        <f>C8*'04 Test &amp; Lab Equipment'!L29</f>
        <v/>
      </c>
      <c r="G8" s="25" t="inlineStr">
        <is>
          <t>DIY thrust stand saves ~INR 1 L vs imported.</t>
        </is>
      </c>
    </row>
    <row r="9" ht="15" customHeight="1" s="45">
      <c r="A9" s="20" t="n">
        <v>5</v>
      </c>
      <c r="B9" s="20" t="inlineStr">
        <is>
          <t>Spares and consumables</t>
        </is>
      </c>
      <c r="C9" s="30" t="n">
        <v>1</v>
      </c>
      <c r="D9" s="21">
        <f>'05 Spares &amp; Consumables'!K22</f>
        <v/>
      </c>
      <c r="E9" s="21">
        <f>C9*D9</f>
        <v/>
      </c>
      <c r="F9" s="21">
        <f>C9*'05 Spares &amp; Consumables'!L22</f>
        <v/>
      </c>
      <c r="G9" s="25" t="inlineStr">
        <is>
          <t>Includes the optional 4th aircraft.</t>
        </is>
      </c>
    </row>
    <row r="10" ht="15" customHeight="1" s="45">
      <c r="A10" s="20" t="n">
        <v>6</v>
      </c>
      <c r="B10" s="20" t="inlineStr">
        <is>
          <t>Software, data and compliance</t>
        </is>
      </c>
      <c r="C10" s="30" t="n">
        <v>1</v>
      </c>
      <c r="D10" s="21">
        <f>'06 Software &amp; Data'!K24</f>
        <v/>
      </c>
      <c r="E10" s="21">
        <f>C10*D10</f>
        <v/>
      </c>
      <c r="F10" s="21">
        <f>C10*'06 Software &amp; Data'!L24</f>
        <v/>
      </c>
      <c r="G10" s="25" t="inlineStr">
        <is>
          <t>Mostly the field data campaign.</t>
        </is>
      </c>
    </row>
    <row r="12" ht="15" customHeight="1" s="45">
      <c r="B12" s="47" t="inlineStr">
        <is>
          <t>SUBTOTAL — hardware, equipment and data</t>
        </is>
      </c>
      <c r="E12" s="19">
        <f>SUM(E5:E10)</f>
        <v/>
      </c>
      <c r="G12" s="48" t="n"/>
    </row>
    <row r="13" ht="15" customHeight="1" s="45">
      <c r="B13" s="47" t="inlineStr">
        <is>
          <t>of which Indian value</t>
        </is>
      </c>
      <c r="F13" s="19">
        <f>SUM(F5:F10)</f>
        <v/>
      </c>
      <c r="G13" s="48" t="n"/>
    </row>
    <row r="14" ht="22.35" customHeight="1" s="45">
      <c r="B14" s="47" t="inlineStr">
        <is>
          <t>Customs duty + freight on the residual imports</t>
        </is>
      </c>
      <c r="E14" s="32">
        <f>(E12-F13)*0.22</f>
        <v/>
      </c>
      <c r="G14" s="48" t="inlineStr">
        <is>
          <t>22% blended on the imported residual only — a far smaller base than the imported BOM, which is the main cost advantage of this build.</t>
        </is>
      </c>
    </row>
    <row r="15" ht="15" customHeight="1" s="45">
      <c r="B15" s="47" t="inlineStr">
        <is>
          <t>GST</t>
        </is>
      </c>
      <c r="E15" s="32">
        <f>(E12+E14)*0.18</f>
        <v/>
      </c>
      <c r="G15" s="48" t="inlineStr">
        <is>
          <t>18% assumed. Institutional purchases may be exempt.</t>
        </is>
      </c>
    </row>
    <row r="16" ht="15" customHeight="1" s="45">
      <c r="B16" s="47" t="inlineStr">
        <is>
          <t>Contingency</t>
        </is>
      </c>
      <c r="E16" s="32">
        <f>(E12+E14+E15)*0.2</f>
        <v/>
      </c>
      <c r="G16" s="48" t="inlineStr">
        <is>
          <t>20%. Hardware programmes consume it.</t>
        </is>
      </c>
    </row>
    <row r="17" ht="15" customHeight="1" s="45">
      <c r="B17" s="47" t="inlineStr">
        <is>
          <t>TOTAL PROGRAMME COST</t>
        </is>
      </c>
      <c r="E17" s="33">
        <f>E12+E14+E15+E16</f>
        <v/>
      </c>
      <c r="G17" s="48" t="n"/>
    </row>
    <row r="19" ht="15" customHeight="1" s="45">
      <c r="B19" s="47" t="inlineStr">
        <is>
          <t>NOTES</t>
        </is>
      </c>
    </row>
    <row r="20" ht="15" customHeight="1" s="45">
      <c r="B20" s="44" t="inlineStr">
        <is>
          <t>Indian sourcing cuts the dutiable import base sharply: duty and freight are ~INR 1.34 L on the imported residual, against ~INR 4.17 L if the same BOM were bought fully imported.</t>
        </is>
      </c>
    </row>
    <row r="21" ht="15" customHeight="1" s="45">
      <c r="B21" s="44" t="inlineStr">
        <is>
          <t>Lead times improve more than price does: 4-6 week imports become 2-3 week domestic orders. In a 30-week programme that is worth more than the money.</t>
        </is>
      </c>
    </row>
    <row r="22" ht="15" customHeight="1" s="45">
      <c r="B22" s="44" t="inlineStr">
        <is>
          <t>The DIY thrust stand (Indian load cells + Indian DAQ) is both cheaper and a legitimate engineering deliverable for the technical report.</t>
        </is>
      </c>
    </row>
    <row r="23" ht="15" customHeight="1" s="45">
      <c r="B23" s="44" t="inlineStr">
        <is>
          <t>DO NOT CUT: safety equipment, the calibrated weigh-in scale, the calibration targets, or the Indian field data campaign.</t>
        </is>
      </c>
    </row>
    <row r="24" ht="15" customHeight="1" s="45">
      <c r="B24" s="44" t="inlineStr">
        <is>
          <t>Send RFQs to Bharath Components, Mechtex, Flameback Tech, S R Aerospace, Agam Robotics, Zuppa, Teravolt Labs, Accord Software, e-con Systems, FxUAV and an Indian pack house in Phase 0 week 1. Several do not publish prices, and lead-time discovery matters more than price discovery.</t>
        </is>
      </c>
    </row>
    <row r="25">
      <c r="B25" t="inlineStr">
        <is>
          <t>COST PASS 2026-08-10: subtotal cut from INR 24.06 L to INR 18.96 L (-21%), programme total INR 36.97 L to INR 28.74 L (-22%), indigenisation 61.3% to 67.9%. Nothing was cut from the flight-critical path and no flight mass changed. The cuts were duplicate buys (dev workstation vs Indian GPU cloud; a complete fourth aircraft on top of a full spares set; a spot welder against outsourced pack assembly), items the BOM itself called optional (solar panel), quantities of bench instruments bought in twos, and lines specified above their own stated requirement (AI compute, GCS laptops, power station, chargers). Cut lines are held at Qty 0 with their price intact - reinstating one is a single-cell edit. See hardware/bom/CHANGELOG.md.</t>
        </is>
      </c>
    </row>
  </sheetData>
  <mergeCells count="5">
    <mergeCell ref="B24:G24"/>
    <mergeCell ref="B20:G20"/>
    <mergeCell ref="B22:G22"/>
    <mergeCell ref="B23:G23"/>
    <mergeCell ref="B21:G2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34"/>
  <sheetViews>
    <sheetView zoomScaleNormal="100" workbookViewId="0">
      <pane ySplit="14" topLeftCell="A15" activePane="bottomLeft" state="frozen"/>
      <selection pane="bottomLeft" activeCell="A1" sqref="A1"/>
    </sheetView>
  </sheetViews>
  <sheetFormatPr baseColWidth="8" defaultColWidth="8.6640625" defaultRowHeight="14.4"/>
  <cols>
    <col width="4" customWidth="1" style="45" min="1" max="1"/>
    <col width="38" customWidth="1" style="45" min="2" max="2"/>
    <col width="18" customWidth="1" style="45" min="3" max="4"/>
    <col width="16" customWidth="1" style="45" min="5" max="5"/>
    <col width="70" customWidth="1" style="45" min="6" max="6"/>
  </cols>
  <sheetData>
    <row r="1" ht="17.4" customHeight="1" s="45">
      <c r="A1" s="1" t="inlineStr">
        <is>
          <t>09 — INDIGENISATION SCORECARD</t>
        </is>
      </c>
    </row>
    <row r="2" ht="15" customHeight="1" s="45">
      <c r="A2" s="2" t="inlineStr">
        <is>
          <t>Indian value = Ext. Price x Indigenous %. Use these figures directly in the technical report — an honest, quantified indigenisation claim is far stronger than "Made in India" on a slide.</t>
        </is>
      </c>
    </row>
    <row r="4" ht="31.5" customHeight="1" s="45">
      <c r="A4" s="5" t="inlineStr">
        <is>
          <t>#</t>
        </is>
      </c>
      <c r="B4" s="5" t="inlineStr">
        <is>
          <t>Category</t>
        </is>
      </c>
      <c r="C4" s="5" t="inlineStr">
        <is>
          <t>Total value (INR)</t>
        </is>
      </c>
      <c r="D4" s="5" t="inlineStr">
        <is>
          <t>Indian value (INR)</t>
        </is>
      </c>
      <c r="E4" s="5" t="inlineStr">
        <is>
          <t>Indian %</t>
        </is>
      </c>
      <c r="F4" s="5" t="inlineStr">
        <is>
          <t>Comment</t>
        </is>
      </c>
    </row>
    <row r="5" ht="15" customHeight="1" s="45">
      <c r="A5" s="20" t="n">
        <v>1</v>
      </c>
      <c r="B5" s="20" t="inlineStr">
        <is>
          <t>Air vehicle (x3)</t>
        </is>
      </c>
      <c r="C5" s="21">
        <f>'01 Air Vehicle BOM'!K61*3</f>
        <v/>
      </c>
      <c r="D5" s="21">
        <f>'01 Air Vehicle BOM'!L61*3</f>
        <v/>
      </c>
      <c r="E5" s="34">
        <f>IF(C5=0,"",D5/C5)</f>
        <v/>
      </c>
      <c r="F5" s="25" t="inlineStr">
        <is>
          <t>Dragged down almost entirely by the AI compute module and the connectors.</t>
        </is>
      </c>
    </row>
    <row r="6" ht="15" customHeight="1" s="45">
      <c r="A6" s="20" t="n">
        <v>2</v>
      </c>
      <c r="B6" s="20" t="inlineStr">
        <is>
          <t>Payload and kits</t>
        </is>
      </c>
      <c r="C6" s="21">
        <f>'02 Payload &amp; Kits'!K15</f>
        <v/>
      </c>
      <c r="D6" s="21">
        <f>'02 Payload &amp; Kits'!L15</f>
        <v/>
      </c>
      <c r="E6" s="34">
        <f>IF(C6=0,"",D6/C6)</f>
        <v/>
      </c>
      <c r="F6" s="25" t="inlineStr">
        <is>
          <t>Essentially fully Indian — local fabrication and consumables.</t>
        </is>
      </c>
    </row>
    <row r="7" ht="15" customHeight="1" s="45">
      <c r="A7" s="20" t="n">
        <v>3</v>
      </c>
      <c r="B7" s="20" t="inlineStr">
        <is>
          <t>Ground segment</t>
        </is>
      </c>
      <c r="C7" s="21">
        <f>'03 Ground Segment'!K31</f>
        <v/>
      </c>
      <c r="D7" s="21">
        <f>'03 Ground Segment'!L31</f>
        <v/>
      </c>
      <c r="E7" s="34">
        <f>IF(C7=0,"",D7/C7)</f>
        <v/>
      </c>
      <c r="F7" s="25" t="inlineStr">
        <is>
          <t>Laptops are the weak point; power, solar, masts and safety are strongly Indian.</t>
        </is>
      </c>
    </row>
    <row r="8" ht="15" customHeight="1" s="45">
      <c r="A8" s="20" t="n">
        <v>4</v>
      </c>
      <c r="B8" s="20" t="inlineStr">
        <is>
          <t>Test and lab equipment</t>
        </is>
      </c>
      <c r="C8" s="21">
        <f>'04 Test &amp; Lab Equipment'!K29</f>
        <v/>
      </c>
      <c r="D8" s="21">
        <f>'04 Test &amp; Lab Equipment'!L29</f>
        <v/>
      </c>
      <c r="E8" s="34">
        <f>IF(C8=0,"",D8/C8)</f>
        <v/>
      </c>
      <c r="F8" s="25" t="inlineStr">
        <is>
          <t>Indian balances, instruments, tools and 3D printers are genuinely good.</t>
        </is>
      </c>
    </row>
    <row r="9" ht="15" customHeight="1" s="45">
      <c r="A9" s="20" t="n">
        <v>5</v>
      </c>
      <c r="B9" s="20" t="inlineStr">
        <is>
          <t>Spares and consumables</t>
        </is>
      </c>
      <c r="C9" s="21">
        <f>'05 Spares &amp; Consumables'!K22</f>
        <v/>
      </c>
      <c r="D9" s="21">
        <f>'05 Spares &amp; Consumables'!L22</f>
        <v/>
      </c>
      <c r="E9" s="34">
        <f>IF(C9=0,"",D9/C9)</f>
        <v/>
      </c>
      <c r="F9" s="25" t="inlineStr">
        <is>
          <t>Mirrors the air vehicle.</t>
        </is>
      </c>
    </row>
    <row r="10" ht="15" customHeight="1" s="45">
      <c r="A10" s="20" t="n">
        <v>6</v>
      </c>
      <c r="B10" s="20" t="inlineStr">
        <is>
          <t>Software, data and compliance</t>
        </is>
      </c>
      <c r="C10" s="21">
        <f>'06 Software &amp; Data'!K24</f>
        <v/>
      </c>
      <c r="D10" s="21">
        <f>'06 Software &amp; Data'!L24</f>
        <v/>
      </c>
      <c r="E10" s="34">
        <f>IF(C10=0,"",D10/C10)</f>
        <v/>
      </c>
      <c r="F10" s="25" t="inlineStr">
        <is>
          <t>The Indian field dataset is the standout indigenous asset.</t>
        </is>
      </c>
    </row>
    <row r="11" ht="15" customHeight="1" s="45">
      <c r="B11" s="47" t="inlineStr">
        <is>
          <t>PROGRAMME TOTAL</t>
        </is>
      </c>
      <c r="C11" s="19">
        <f>SUM(C5:C10)</f>
        <v/>
      </c>
      <c r="D11" s="19">
        <f>SUM(D5:D10)</f>
        <v/>
      </c>
      <c r="E11" s="17">
        <f>D11/C11</f>
        <v/>
      </c>
    </row>
    <row r="13" ht="15" customHeight="1" s="45">
      <c r="B13" s="47" t="inlineStr">
        <is>
          <t>SUPPLIER-BASIS SCORE (count of line items by tier)</t>
        </is>
      </c>
    </row>
    <row r="14" ht="31.5" customHeight="1" s="45">
      <c r="A14" s="5" t="n"/>
      <c r="B14" s="5" t="inlineStr">
        <is>
          <t>Tier</t>
        </is>
      </c>
      <c r="C14" s="5" t="inlineStr">
        <is>
          <t>Line items</t>
        </is>
      </c>
      <c r="D14" s="5" t="inlineStr">
        <is>
          <t>Share of lines</t>
        </is>
      </c>
      <c r="E14" s="5" t="n"/>
      <c r="F14" s="5" t="inlineStr">
        <is>
          <t>Definition</t>
        </is>
      </c>
    </row>
    <row r="15" ht="15" customHeight="1" s="45">
      <c r="B15" s="35" t="inlineStr">
        <is>
          <t>I1</t>
        </is>
      </c>
      <c r="C15" s="21">
        <f>COUNTIF('01 Air Vehicle BOM'!E4:E60,"I1")+COUNTIF('02 Payload &amp; Kits'!E4:E14,"I1")+COUNTIF('03 Ground Segment'!E4:E30,"I1")+COUNTIF('04 Test &amp; Lab Equipment'!E4:E28,"I1")+COUNTIF('05 Spares &amp; Consumables'!E4:E21,"I1")+COUNTIF('06 Software &amp; Data'!E4:E23,"I1")</f>
        <v/>
      </c>
      <c r="D15" s="34">
        <f>C15/$C$19</f>
        <v/>
      </c>
      <c r="E15" s="36" t="n"/>
      <c r="F15" s="25" t="inlineStr">
        <is>
          <t>Indian design and manufacture</t>
        </is>
      </c>
    </row>
    <row r="16" ht="15" customHeight="1" s="45">
      <c r="B16" s="35" t="inlineStr">
        <is>
          <t>I2</t>
        </is>
      </c>
      <c r="C16" s="21">
        <f>COUNTIF('01 Air Vehicle BOM'!E4:E60,"I2")+COUNTIF('02 Payload &amp; Kits'!E4:E14,"I2")+COUNTIF('03 Ground Segment'!E4:E30,"I2")+COUNTIF('04 Test &amp; Lab Equipment'!E4:E28,"I2")+COUNTIF('05 Spares &amp; Consumables'!E4:E21,"I2")+COUNTIF('06 Software &amp; Data'!E4:E23,"I2")</f>
        <v/>
      </c>
      <c r="D16" s="34">
        <f>C16/$C$19</f>
        <v/>
      </c>
      <c r="E16" s="36" t="n"/>
      <c r="F16" s="25" t="inlineStr">
        <is>
          <t>Indian design and assembly, imported silicon or fibre</t>
        </is>
      </c>
    </row>
    <row r="17" ht="15" customHeight="1" s="45">
      <c r="B17" s="37" t="inlineStr">
        <is>
          <t>I3</t>
        </is>
      </c>
      <c r="C17" s="21">
        <f>COUNTIF('01 Air Vehicle BOM'!E4:E60,"I3")+COUNTIF('02 Payload &amp; Kits'!E4:E14,"I3")+COUNTIF('03 Ground Segment'!E4:E30,"I3")+COUNTIF('04 Test &amp; Lab Equipment'!E4:E28,"I3")+COUNTIF('05 Spares &amp; Consumables'!E4:E21,"I3")+COUNTIF('06 Software &amp; Data'!E4:E23,"I3")</f>
        <v/>
      </c>
      <c r="D17" s="34">
        <f>C17/$C$19</f>
        <v/>
      </c>
      <c r="E17" s="36" t="n"/>
      <c r="F17" s="25" t="inlineStr">
        <is>
          <t>Indian assembly and value-add from imported subassemblies</t>
        </is>
      </c>
    </row>
    <row r="18" ht="15" customHeight="1" s="45">
      <c r="B18" s="38" t="inlineStr">
        <is>
          <t>I4</t>
        </is>
      </c>
      <c r="C18" s="21">
        <f>COUNTIF('01 Air Vehicle BOM'!E4:E60,"I4")+COUNTIF('02 Payload &amp; Kits'!E4:E14,"I4")+COUNTIF('03 Ground Segment'!E4:E30,"I4")+COUNTIF('04 Test &amp; Lab Equipment'!E4:E28,"I4")+COUNTIF('05 Spares &amp; Consumables'!E4:E21,"I4")+COUNTIF('06 Software &amp; Data'!E4:E23,"I4")</f>
        <v/>
      </c>
      <c r="D18" s="34">
        <f>C18/$C$19</f>
        <v/>
      </c>
      <c r="E18" s="36" t="n"/>
      <c r="F18" s="25" t="inlineStr">
        <is>
          <t>No Indian option — import with declared mitigation</t>
        </is>
      </c>
    </row>
    <row r="19" ht="15" customHeight="1" s="45">
      <c r="B19" s="47" t="inlineStr">
        <is>
          <t>TOTAL</t>
        </is>
      </c>
      <c r="C19" s="19">
        <f>SUM(C15:C18)</f>
        <v/>
      </c>
      <c r="D19" s="39">
        <f>SUM(D15:D18)</f>
        <v/>
      </c>
    </row>
    <row r="20" ht="15" customHeight="1" s="45">
      <c r="B20" s="47">
        <f>CONCATENATE("Lines with an Indian supplier (I1+I2+I3): ",TEXT((C15+C16+C17)/C19,"0.0%"))</f>
        <v/>
      </c>
    </row>
    <row r="22" ht="15" customHeight="1" s="45">
      <c r="B22" s="47" t="inlineStr">
        <is>
          <t>THE FOUR IRREDUCIBLE IMPORTS — state these plainly in the technical report</t>
        </is>
      </c>
    </row>
    <row r="23" ht="25.5" customHeight="1" s="45">
      <c r="B23" s="46" t="inlineStr">
        <is>
          <t>1. AI INFERENCE SILICON. No Indian GPU or NPU exists at the ~20 TOPS class needed for tiled detection at 2 Hz. Mitigation: Indian-designed carrier and thermal design, Indian camera, Indian dataset, Indian-trained model. Only the die is foreign.</t>
        </is>
      </c>
    </row>
    <row r="24" ht="25.5" customHeight="1" s="45">
      <c r="B24" s="46" t="inlineStr">
        <is>
          <t>2. HIGH-DRAIN 21700 CELLS. GODI India makes BIS-certified 21700 NMC, but a 40-45 A continuous drone-grade variant must be confirmed. Indian PACK assembly is mature and competitive — use it either way.</t>
        </is>
      </c>
    </row>
    <row r="25" ht="25.5" customHeight="1" s="45">
      <c r="B25" s="46" t="inlineStr">
        <is>
          <t>3. RF CHIPSETS. 802.11 and LoRa transceivers have no Indian source. FxUAV and other Indian RF houses build indigenous datalinks around them; module design, firmware, spectrum compliance and ETA documentation are Indian.</t>
        </is>
      </c>
    </row>
    <row r="26" ht="15" customHeight="1" s="45">
      <c r="B26" s="46" t="inlineStr">
        <is>
          <t>4. HIGH-CURRENT CONNECTORS AND SOME PASSIVES. Small value, genuinely unavailable domestically. Buy through Indian distributors.</t>
        </is>
      </c>
    </row>
    <row r="27" ht="15" customHeight="1" s="45">
      <c r="B27" s="48" t="n"/>
    </row>
    <row r="28" ht="39" customHeight="1" s="45">
      <c r="B28" s="46" t="inlineStr">
        <is>
          <t>EVERYTHING ELSE HAS A REAL INDIAN SUPPLIER: motors, ESCs, propellers, PDBs, BMS, wire, structure, fasteners, flight controller, GNSS (with NavIC), camera modules, antennas, packs, mechanical hardware, instruments, tools, printers, safety equipment and the entire software stack.</t>
        </is>
      </c>
    </row>
    <row r="30" ht="15" customHeight="1" s="45">
      <c r="B30" s="47" t="inlineStr">
        <is>
          <t>HOW TO PRESENT THIS TO EVALUATORS</t>
        </is>
      </c>
    </row>
    <row r="31" ht="25.5" customHeight="1" s="45">
      <c r="B31" s="46" t="inlineStr">
        <is>
          <t>Lead with the number, not the slogan. "68% of programme value is Indian, and here are the four things that are not, and why" beats "Made in India" every time. Read the number off row 11 of this tab rather than from memory - the figure that used to sit in this sentence was 84%, which this tab has never computed.</t>
        </is>
      </c>
    </row>
    <row r="32" ht="25.5" customHeight="1" s="45">
      <c r="B32" s="46" t="inlineStr">
        <is>
          <t>Show the VEGA co-processor running a real subsystem. It is the single most visible indigenisation signal available to a Track 1 team.</t>
        </is>
      </c>
    </row>
    <row r="33" ht="25.5" customHeight="1" s="45">
      <c r="B33" s="46" t="inlineStr">
        <is>
          <t>Show NavIC being used, with a plot of satellites tracked over India versus a GPS-only receiver. It is an indigenisation choice that improves performance — the strongest kind.</t>
        </is>
      </c>
    </row>
    <row r="34" ht="25.5" customHeight="1" s="45">
      <c r="B34" s="46" t="inlineStr">
        <is>
          <t>Offer to publish the Indian SAR dataset. HERIDAL and SARD are European; there is no Indian equivalent, and creating one is a national-capability contribution that outlives the competition.</t>
        </is>
      </c>
    </row>
  </sheetData>
  <mergeCells count="11">
    <mergeCell ref="B24:F24"/>
    <mergeCell ref="B34:F34"/>
    <mergeCell ref="B20:F20"/>
    <mergeCell ref="B33:F33"/>
    <mergeCell ref="B25:F25"/>
    <mergeCell ref="B28:F28"/>
    <mergeCell ref="B31:F31"/>
    <mergeCell ref="B23:F23"/>
    <mergeCell ref="B32:F32"/>
    <mergeCell ref="B26:F26"/>
    <mergeCell ref="B27:F27"/>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2026-08-06T06:50:21Z</dcterms:created>
  <dcterms:modified xmlns:dcterms="http://purl.org/dc/terms/" xmlns:xsi="http://www.w3.org/2001/XMLSchema-instance" xsi:type="dcterms:W3CDTF">2026-08-18T08:56:55Z</dcterms:modified>
  <cp:lastModifiedBy>Swastik .</cp:lastModifiedBy>
  <cp:revision>0</cp:revision>
</cp:coreProperties>
</file>