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igenisation Policy" sheetId="1" state="visible" r:id="rId3"/>
    <sheet name="01 Air Vehicle BOM" sheetId="2" state="visible" r:id="rId4"/>
    <sheet name="02 Payload &amp; Kits" sheetId="3" state="visible" r:id="rId5"/>
    <sheet name="03 Ground Segment" sheetId="4" state="visible" r:id="rId6"/>
    <sheet name="04 Test &amp; Lab Equipment" sheetId="5" state="visible" r:id="rId7"/>
    <sheet name="05 Spares &amp; Consumables" sheetId="6" state="visible" r:id="rId8"/>
    <sheet name="06 Software &amp; Data" sheetId="7" state="visible" r:id="rId9"/>
    <sheet name="07 Mass Rollup" sheetId="8" state="visible" r:id="rId10"/>
    <sheet name="08 Cost Summary" sheetId="9" state="visible" r:id="rId11"/>
    <sheet name="09 Indigenisation Scoreca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<sst xmlns="http://schemas.openxmlformats.org/spreadsheetml/2006/main" count="1196" uniqueCount="770">
  <si>
    <t xml:space="preserve">RescueSwarm — All-Indian Bill of Materials</t>
  </si>
  <si>
    <t xml:space="preserve">NIDAR 2.0 (2026-27) Track 1 · every component sourced from an Indian supplier wherever one exists</t>
  </si>
  <si>
    <t xml:space="preserve">WHY</t>
  </si>
  <si>
    <t xml:space="preserve">NIDAR 2.0 is a MeitY / Drone Federation of India programme under SwaYaan, explicitly aimed at Atmanirbhar Bharat. Track 2 mandates the C-DAC VEGA processor. Track 1 does not mandate indigenous parts, but the programme's stated purpose is to move India "from drone assembly to manufacturing the drone's brain in India" — so an indigenised build is directly aligned with how this competition is judged and funded.</t>
  </si>
  <si>
    <t xml:space="preserve">TIER DEFINITIONS</t>
  </si>
  <si>
    <t xml:space="preserve">I1 = Indian company, Indian design, Indian manufacture. I2 = Indian design and assembly, imported silicon or raw fibre. I3 = Indian assembly and value-add from imported subassemblies. I4 = no Indian option exists at this capability level; imported, with a declared mitigation.</t>
  </si>
  <si>
    <t xml:space="preserve">HONEST HEADLINE</t>
  </si>
  <si>
    <t xml:space="preserve">Roughly 90% of line items have a real Indian supplier, but only about 60% of PROGRAMME VALUE is Indian, and about 57% of flight-hardware value. The gap is not evasion — it is what happens when Indian-designed boards carry imported silicon. Four things have no Indian option at all: the AI inference SoM (no Indian GPU/NPU at this class), high-drain 21700 cells at 45 A, 802.11/LoRa RF chipsets, and high-current connectors. Tab 09 computes all of this from the line items, so the number you quote to evaluators is one you can defend.</t>
  </si>
  <si>
    <t xml:space="preserve">WHY 60% AND NOT 90%</t>
  </si>
  <si>
    <t xml:space="preserve">An Indian flight controller, GNSS receiver or camera module is Indian design, Indian firmware, Indian manufacture — on an imported MCU or sensor die. This BOM scores those at 60% Indian value rather than 100%. That is a deliberately conservative accounting choice. If you score by supplier, or by design ownership, the number is far higher. State which basis you are using whenever you quote a figure.</t>
  </si>
  <si>
    <t xml:space="preserve">THE BEST FINDS</t>
  </si>
  <si>
    <t xml:space="preserve">1. NavIC. Indian GNSS receivers process ISRO's NavIC L1+L5 natively, giving more satellites directly overhead than any imported GPS-only module, faster time-to-first-fix, and a fallback constellation if GPS is jammed. This is an indigenisation choice that makes the system TECHNICALLY BETTER, not just compliant. 2. Flameback Tech ships a 6-12S 60 A ESC that matches the sizing requirement exactly. 3. e-con Systems (Chennai) is a genuine world-class embedded-vision house with global-shutter MIPI modules. 4. Agam Robotics and Zuppa both ship flight-ready Indian autopilots.</t>
  </si>
  <si>
    <t xml:space="preserve">THE VEGA ANGLE</t>
  </si>
  <si>
    <t xml:space="preserve">C-DAC gives two VEGA processor dev kits to each of the top 100 teams. Even in Track 1, a VEGA-based subsystem — the payload release controller, the mesh node manager, or a redundant failsafe watchdog — is a credible, low-risk way to demonstrate indigenous silicon without putting an unproven RISC-V autopilot on the flight-critical path. Strongly recommended as a scored differentiator.</t>
  </si>
  <si>
    <t xml:space="preserve">WHAT CHANGED vs THE IMPORTED BOM</t>
  </si>
  <si>
    <t xml:space="preserve">Mass and performance are essentially unchanged: MTOW stays ~5.7 kg and the fleet stays ~17 kg against the 25 kg cap. Cost drops, because Indian motors, ESCs, props, structure and packs undercut T-Motor and Holybro. Lead times improve sharply — 4-6 weeks of import freight becomes 1-3 weeks domestic. The one performance question mark is the RTK/moving-baseline capability of the Indian GNSS options, which must be confirmed before Phase 1 closes.</t>
  </si>
  <si>
    <t xml:space="preserve">HOW TO USE</t>
  </si>
  <si>
    <t xml:space="preserve">Blue cells are inputs. The Tier column is colour-coded: green = Indian, orange = Indian assembly, red = import with no Indian option. The "Indian Value" column is Ext. Price x Indigenous %, and tab 09 rolls it up into an indigenisation score by mass and by value.</t>
  </si>
  <si>
    <t xml:space="preserve">CAUTION ON PRICES</t>
  </si>
  <si>
    <t xml:space="preserve">Indicative budgetary estimates only. Indian drone-component pricing is quotation-driven and moves fast; several of these suppliers do not publish list prices. Send an RFQ to every supplier named here in week 1 of Phase 0 — lead time discovery matters more than price discovery.</t>
  </si>
  <si>
    <t xml:space="preserve">01 — AIR VEHICLE BOM, INDIAN SOURCES (per aircraft; x3 for the fleet)</t>
  </si>
  <si>
    <t xml:space="preserve">Design point unchanged: quad, 18 in props, 6S3P 21700, MTOW ~5.7 kg, fleet ~17 kg vs the 25 kg cap. Prices indicative INR.</t>
  </si>
  <si>
    <t xml:space="preserve">#</t>
  </si>
  <si>
    <t xml:space="preserve">Component</t>
  </si>
  <si>
    <t xml:space="preserve">Indian part / specification</t>
  </si>
  <si>
    <t xml:space="preserve">Indian supplier (location)</t>
  </si>
  <si>
    <t xml:space="preserve">Tier</t>
  </si>
  <si>
    <t xml:space="preserve">Indig.
%</t>
  </si>
  <si>
    <t xml:space="preserve">Qty</t>
  </si>
  <si>
    <t xml:space="preserve">Unit
Mass (g)</t>
  </si>
  <si>
    <t xml:space="preserve">Total
Mass (g)</t>
  </si>
  <si>
    <t xml:space="preserve">Unit Price
(INR)</t>
  </si>
  <si>
    <t xml:space="preserve">Ext. Price
(INR)</t>
  </si>
  <si>
    <t xml:space="preserve">Indian
Value (INR)</t>
  </si>
  <si>
    <t xml:space="preserve">Lead
Time</t>
  </si>
  <si>
    <t xml:space="preserve">Why this part / sizing reference</t>
  </si>
  <si>
    <t xml:space="preserve">Indigenisation gap or action</t>
  </si>
  <si>
    <t xml:space="preserve">STRUCTURE</t>
  </si>
  <si>
    <t xml:space="preserve">Arm tube</t>
  </si>
  <si>
    <t xml:space="preserve">CF round tube 25 x 23 x 400 mm, pultruded/roll-wrapped</t>
  </si>
  <si>
    <t xml:space="preserve">Kineco Kaman Composites (Goa) / Composite Technology Park (Bengaluru)</t>
  </si>
  <si>
    <t xml:space="preserve">I2</t>
  </si>
  <si>
    <t xml:space="preserve">2 wk</t>
  </si>
  <si>
    <t xml:space="preserve">Sizing §13: arm root moment 9.4 N·m at T/W=2, 22 MPa vs ~600 MPa UD carbon, SF 28. Joint design, not the tube, is the driver.</t>
  </si>
  <si>
    <t xml:space="preserve">Carbon precursor fibre is imported (Epsilon Carbon is commissioning Indian PAN fibre). Weave and pultrusion are Indian.</t>
  </si>
  <si>
    <t xml:space="preserve">Centre plate</t>
  </si>
  <si>
    <t xml:space="preserve">CF sandwich 2.5 mm, CNC cut, top + bottom</t>
  </si>
  <si>
    <t xml:space="preserve">Composite Technology Park, Bengaluru / local CNC job shop</t>
  </si>
  <si>
    <t xml:space="preserve">3 wk</t>
  </si>
  <si>
    <t xml:space="preserve">Rule C3 forbids a market-ready airframe — this must be your own design.</t>
  </si>
  <si>
    <t xml:space="preserve">Same fibre-origin caveat as the tubes.</t>
  </si>
  <si>
    <t xml:space="preserve">Arm clamp set</t>
  </si>
  <si>
    <t xml:space="preserve">Machined Al 6061-T6, 25 mm bore, anti-rotation key</t>
  </si>
  <si>
    <t xml:space="preserve">Local precision machine shop (Pune / Coimbatore / Bengaluru belt)</t>
  </si>
  <si>
    <t xml:space="preserve">I1</t>
  </si>
  <si>
    <t xml:space="preserve">Highest-risk mechanical joint. Must not creep under vibration.</t>
  </si>
  <si>
    <t xml:space="preserve">None. India has deep small-batch CNC capacity.</t>
  </si>
  <si>
    <t xml:space="preserve">Motor mount plate</t>
  </si>
  <si>
    <t xml:space="preserve">CF 3 mm, tube saddle, bolt pattern matched to the chosen motor</t>
  </si>
  <si>
    <t xml:space="preserve">Local CNC / Composite Technology Park</t>
  </si>
  <si>
    <t xml:space="preserve">Interfaces motor bolt circle to the arm.</t>
  </si>
  <si>
    <t xml:space="preserve">—</t>
  </si>
  <si>
    <t xml:space="preserve">Landing gear leg</t>
  </si>
  <si>
    <t xml:space="preserve">CF tube 16 x 300 mm with damped foot</t>
  </si>
  <si>
    <t xml:space="preserve">Kineco / local composites</t>
  </si>
  <si>
    <t xml:space="preserve">Absorbs a 1.5 m/s touchdown at 5.7 kg; keeps the magazine clear of ground.</t>
  </si>
  <si>
    <t xml:space="preserve">Landing foot</t>
  </si>
  <si>
    <t xml:space="preserve">TPU printed, 50 mm dia</t>
  </si>
  <si>
    <t xml:space="preserve">In-house on an Indian FDM printer</t>
  </si>
  <si>
    <t xml:space="preserve">Damps landing impulse, protects tube ends.</t>
  </si>
  <si>
    <t xml:space="preserve">Filament: WOL3D / Fila3D (Indian extruders, imported resin pellets).</t>
  </si>
  <si>
    <t xml:space="preserve">Battery tray + strap</t>
  </si>
  <si>
    <t xml:space="preserve">CF tray, hook-loop straps, foam pad</t>
  </si>
  <si>
    <t xml:space="preserve">In-house + local hardware</t>
  </si>
  <si>
    <t xml:space="preserve">1 wk</t>
  </si>
  <si>
    <t xml:space="preserve">Retains a ~1.45 kg pack under a 3 g landing load.</t>
  </si>
  <si>
    <t xml:space="preserve">FC vibration mount</t>
  </si>
  <si>
    <t xml:space="preserve">Silicone damping-ball plate, 20-30 shore</t>
  </si>
  <si>
    <t xml:space="preserve">Indian rubber/silicone moulder + in-house plate</t>
  </si>
  <si>
    <t xml:space="preserve">IMU vibration is the leading cause of EKF failure on student builds.</t>
  </si>
  <si>
    <t xml:space="preserve">Electronics canopy</t>
  </si>
  <si>
    <t xml:space="preserve">3D-printed PETG/ASA shell, vented, splash-tolerant</t>
  </si>
  <si>
    <t xml:space="preserve">In-house (Fracktal Works / Divide By Zero printer)</t>
  </si>
  <si>
    <t xml:space="preserve">Houses compute, mesh node, PDB; accepts the cooling duct.</t>
  </si>
  <si>
    <t xml:space="preserve">Compute cooling blower</t>
  </si>
  <si>
    <t xml:space="preserve">5 V 40 mm blower + printed duct, live from power-on</t>
  </si>
  <si>
    <t xml:space="preserve">Indian fan supplier + in-house duct</t>
  </si>
  <si>
    <t xml:space="preserve">Sizing §14: worst thermal case is the 5-min ground setup with props stopped at 35 °C ambient.</t>
  </si>
  <si>
    <t xml:space="preserve">Small DC fans are largely imported; duct and integration are Indian.</t>
  </si>
  <si>
    <t xml:space="preserve">Fastener kit</t>
  </si>
  <si>
    <t xml:space="preserve">M3 socket cap A2, nyloc, washers, heat inserts (~120 pcs)</t>
  </si>
  <si>
    <t xml:space="preserve">Sundram Fasteners (Chennai) / Unbrako India</t>
  </si>
  <si>
    <t xml:space="preserve">None. Indian fastener manufacture is world class.</t>
  </si>
  <si>
    <t xml:space="preserve">Standoffs, spacers, grommets</t>
  </si>
  <si>
    <t xml:space="preserve">M3 aluminium 10-40 mm, rubber grommets, P-clips</t>
  </si>
  <si>
    <t xml:space="preserve">Local hardware</t>
  </si>
  <si>
    <t xml:space="preserve">Chafe protection where the harness crosses CF — carbon dust is conductive and abrasive.</t>
  </si>
  <si>
    <t xml:space="preserve">PROPULSION</t>
  </si>
  <si>
    <t xml:space="preserve">Motor</t>
  </si>
  <si>
    <t xml:space="preserve">BLDC ~150-190 KV, 6-12S, 3.5-4.5 kgf on an 18 in prop</t>
  </si>
  <si>
    <t xml:space="preserve">Bharath Components (Gurugram, IoTechWorld) / Mechtex (Faridabad) / Vector Technics</t>
  </si>
  <si>
    <t xml:space="preserve">3-4 wk</t>
  </si>
  <si>
    <t xml:space="preserve">Sizing §6: need 2.53 kgf/motor at T/W = 2. Bharath quotes 3-5 kg rotor load to 9 kgf; Mechtex custom-winds 1.5-30 kgf. Ask for a custom wind to hit the exact KV.</t>
  </si>
  <si>
    <t xml:space="preserve">Magnets and some bearings imported. Winding, stator, housing and assembly are Indian. Request a measured thrust/current curve with the quote.</t>
  </si>
  <si>
    <t xml:space="preserve">ESC</t>
  </si>
  <si>
    <t xml:space="preserve">6-12S, 60 A rated, DShot/PWM, telemetry out</t>
  </si>
  <si>
    <t xml:space="preserve">Flameback Tech (India)</t>
  </si>
  <si>
    <t xml:space="preserve">2-3 wk</t>
  </si>
  <si>
    <t xml:space="preserve">Sizing §6: 98 A pack peak = ~25 A per motor. Flameback ships a 6-12S 60 A unit — a direct match to the requirement.</t>
  </si>
  <si>
    <t xml:space="preserve">MOSFETs and the MCU are imported silicon; board design, firmware and manufacture are Indian.</t>
  </si>
  <si>
    <t xml:space="preserve">Propeller pair</t>
  </si>
  <si>
    <t xml:space="preserve">18 x 6.1 in CF folding, CW + CCW, matched set</t>
  </si>
  <si>
    <t xml:space="preserve">S R Aerospace (CSIR-NAL certified) / Bharath Components</t>
  </si>
  <si>
    <t xml:space="preserve">Sizing §3: hover power scales as 1/D. 18 in is the largest most Indian 5008-class motors are rated for.</t>
  </si>
  <si>
    <t xml:space="preserve">CSIR-NAL certification is a genuine quality signal. Fibre imported; layup and moulding Indian.</t>
  </si>
  <si>
    <t xml:space="preserve">Prop adapter / folding hub</t>
  </si>
  <si>
    <t xml:space="preserve">Matched to the chosen motor shaft</t>
  </si>
  <si>
    <t xml:space="preserve">Supplied with motor / local machining</t>
  </si>
  <si>
    <t xml:space="preserve">Confirm inclusion before ordering separately.</t>
  </si>
  <si>
    <t xml:space="preserve">POWER</t>
  </si>
  <si>
    <t xml:space="preserve">Li-ion cell</t>
  </si>
  <si>
    <t xml:space="preserve">21700 NMC, &gt;=4000 mAh, 40-45 A continuous — 18 off</t>
  </si>
  <si>
    <t xml:space="preserve">GODI India (Hyderabad, BIS-certified 21700 NMC)</t>
  </si>
  <si>
    <t xml:space="preserve">I3</t>
  </si>
  <si>
    <t xml:space="preserve">4-6 wk</t>
  </si>
  <si>
    <t xml:space="preserve">Sizing §4: 6S3P = ~292 Wh, 13.5 Ah, 135 A burst vs a 98 A peak demand (38% margin).</t>
  </si>
  <si>
    <t xml:space="preserve">WEAKEST INDIGENISATION LINK. GODI makes BIS-certified 21700 NMC in India, but confirm a 40 A+ continuous drone-grade variant exists. If not, use an Indian-assembled pack with imported high-drain cells (tier I3) and say so openly — that is still the honest Indian best.</t>
  </si>
  <si>
    <t xml:space="preserve">Pack assembly</t>
  </si>
  <si>
    <t xml:space="preserve">6S3P spot-welded pack, holders, nickel, fish paper, wrap</t>
  </si>
  <si>
    <t xml:space="preserve">Revogreen Batteries / Lion Battery / Neuron Energy / CLN Energy</t>
  </si>
  <si>
    <t xml:space="preserve">Indian pack assembly is a mature, competitive industry — unlike Indian cell manufacture.</t>
  </si>
  <si>
    <t xml:space="preserve">Have them capacity- and IR-match every cell and give you the data.</t>
  </si>
  <si>
    <t xml:space="preserve">BMS / balance board</t>
  </si>
  <si>
    <t xml:space="preserve">6S, per-cell taps, high-current discharge path</t>
  </si>
  <si>
    <t xml:space="preserve">Flameback Tech / Indian pack house</t>
  </si>
  <si>
    <t xml:space="preserve">Balance charging and per-cell monitoring for the GCS SoC display (rule C11).</t>
  </si>
  <si>
    <t xml:space="preserve">Protection ICs imported.</t>
  </si>
  <si>
    <t xml:space="preserve">Power distribution board</t>
  </si>
  <si>
    <t xml:space="preserve">200 A continuous, 10 AWG pads</t>
  </si>
  <si>
    <t xml:space="preserve">Sizing §6: 98 A peak; 200 A rating gives thermal margin at 45 °C ambient.</t>
  </si>
  <si>
    <t xml:space="preserve">Power module / current sensor</t>
  </si>
  <si>
    <t xml:space="preserve">Hall-effect 100-200 A, 6-14S, with FC supply</t>
  </si>
  <si>
    <t xml:space="preserve">Bharath Components / Flameback Tech</t>
  </si>
  <si>
    <t xml:space="preserve">Drives the low-battery failsafe (rule C16) and the SoC display (rule C11).</t>
  </si>
  <si>
    <t xml:space="preserve">Hall sensor IC imported.</t>
  </si>
  <si>
    <t xml:space="preserve">BEC 5 V and 12 V</t>
  </si>
  <si>
    <t xml:space="preserve">5 V 5 A + 12 V 5 A switching, low noise</t>
  </si>
  <si>
    <t xml:space="preserve">Flameback Tech / Indian power-electronics house</t>
  </si>
  <si>
    <t xml:space="preserve">1-2 wk</t>
  </si>
  <si>
    <t xml:space="preserve">Separate rails so a compute brownout cannot take the flight controller down.</t>
  </si>
  <si>
    <t xml:space="preserve">Regulator ICs imported.</t>
  </si>
  <si>
    <t xml:space="preserve">Silicone wire and lugs</t>
  </si>
  <si>
    <t xml:space="preserve">10 AWG mains 2 m, 14 AWG motor 6 m, 22-26 AWG signal</t>
  </si>
  <si>
    <t xml:space="preserve">Polycab / Finolex / RR Kabel</t>
  </si>
  <si>
    <t xml:space="preserve">Sizing §6: 98 A peak drives 10 AWG mains, 14 AWG motor leads.</t>
  </si>
  <si>
    <t xml:space="preserve">None. Indian cable manufacture is excellent.</t>
  </si>
  <si>
    <t xml:space="preserve">Connectors</t>
  </si>
  <si>
    <t xml:space="preserve">Anti-spark high-current main connector + JST-GH style signal sets</t>
  </si>
  <si>
    <t xml:space="preserve">Indian distributor; connector bodies imported</t>
  </si>
  <si>
    <t xml:space="preserve">I4</t>
  </si>
  <si>
    <t xml:space="preserve">Anti-spark is mandatory at 292 Wh — a plain connector will arc and pit.</t>
  </si>
  <si>
    <t xml:space="preserve">NO INDIAN EQUIVALENT for XT90-S / JST-GH class connectors. Small value, unavoidable import. Buy through an Indian distributor.</t>
  </si>
  <si>
    <t xml:space="preserve">Buzzer + LED</t>
  </si>
  <si>
    <t xml:space="preserve">Piezo + external RGB status LED</t>
  </si>
  <si>
    <t xml:space="preserve">Local electronics</t>
  </si>
  <si>
    <t xml:space="preserve">Audible pre-arm and low-battery warning; visible state from 10 m.</t>
  </si>
  <si>
    <t xml:space="preserve">AVIONICS</t>
  </si>
  <si>
    <t xml:space="preserve">Flight controller</t>
  </si>
  <si>
    <t xml:space="preserve">Agam Autopilot V6X-RT — Made in India, multi-GNSS, redundant IMU, Ethernet to companion</t>
  </si>
  <si>
    <t xml:space="preserve">Agam Robotics (Bengaluru)</t>
  </si>
  <si>
    <t xml:space="preserve">Sizing §1: a proven autopilot handles stabilisation and failsafes; the companion handles autonomy. Ethernet to the companion is a real advantage over UART.</t>
  </si>
  <si>
    <t xml:space="preserve">NXP i.MXRT MCU imported; board design, firmware, secure element integration and manufacture are Indian. ALTERNATIVE: Zuppa NavGati (Chennai), which runs on C-DAC-developed PCBs and processors — higher indigenisation, less open-ecosystem tooling.</t>
  </si>
  <si>
    <t xml:space="preserve">VEGA co-processor board</t>
  </si>
  <si>
    <t xml:space="preserve">C-DAC VEGA RISC-V dev kit, used as the payload-release and failsafe watchdog controller</t>
  </si>
  <si>
    <t xml:space="preserve">C-DAC (MeitY) — 2 kits free to each top-100 team</t>
  </si>
  <si>
    <t xml:space="preserve">via NIDAR</t>
  </si>
  <si>
    <t xml:space="preserve">INDIGENISATION DIFFERENTIATOR. Puts Indian silicon on the aircraft without risking the flight-critical path. Judges will notice.</t>
  </si>
  <si>
    <t xml:space="preserve">Fully indigenous. Scope it as a non-flight-critical subsystem with a hardware bypass.</t>
  </si>
  <si>
    <t xml:space="preserve">GNSS primary</t>
  </si>
  <si>
    <t xml:space="preserve">AeroNav-series NavIC L1+L5 dual-band receiver with compass</t>
  </si>
  <si>
    <t xml:space="preserve">Teravolt Labs (India)</t>
  </si>
  <si>
    <t xml:space="preserve">Sizing §11: GNSS is the dominant geotag error term. NavIC adds satellites directly overhead and survives a GPS outage.</t>
  </si>
  <si>
    <t xml:space="preserve">ACTION: confirm RTK and moving-baseline heading support before Phase 1 closes. If Teravolt does not support it, evaluate Accord Software &amp; Systems (Bengaluru) or Elena Geo Systems. Sizing §11 shows RTK is worth ~1.4 m of geotag accuracy.</t>
  </si>
  <si>
    <t xml:space="preserve">GNSS secondary (heading)</t>
  </si>
  <si>
    <t xml:space="preserve">Second receiver for moving-baseline yaw</t>
  </si>
  <si>
    <t xml:space="preserve">Teravolt Labs / Accord Software (Bengaluru)</t>
  </si>
  <si>
    <t xml:space="preserve">Sizing §11 case C: once RTK removes GNSS error, attitude leads. Dual-antenna heading removes magnetometer error near a 100 A bus.</t>
  </si>
  <si>
    <t xml:space="preserve">Same RTK confirmation action as above.</t>
  </si>
  <si>
    <t xml:space="preserve">GNSS antenna</t>
  </si>
  <si>
    <t xml:space="preserve">Multi-band L1/L5 helical/patch with ground plane</t>
  </si>
  <si>
    <t xml:space="preserve">Supplied with the Indian receiver kits</t>
  </si>
  <si>
    <t xml:space="preserve">Mount &gt;=150 mm above the power bus and away from the compute module.</t>
  </si>
  <si>
    <t xml:space="preserve">RC receiver</t>
  </si>
  <si>
    <t xml:space="preserve">ExpressLRS 2.4 GHz receiver, safety-pilot link</t>
  </si>
  <si>
    <t xml:space="preserve">Zerodrag (India)</t>
  </si>
  <si>
    <t xml:space="preserve">Not used in the scored mission. Present so a human can take control in an emergency — a range-safety requirement.</t>
  </si>
  <si>
    <t xml:space="preserve">ELRS silicon imported; Zerodrag manufactures in India.</t>
  </si>
  <si>
    <t xml:space="preserve">Safety switch, LED, SD cards</t>
  </si>
  <si>
    <t xml:space="preserve">Arming interlock + 2 x 32 GB industrial microSD</t>
  </si>
  <si>
    <t xml:space="preserve">Indian distributor / Agam accessories</t>
  </si>
  <si>
    <t xml:space="preserve">Every flight must be logged (Development Plan §1.5).</t>
  </si>
  <si>
    <t xml:space="preserve">NAND flash has no Indian source.</t>
  </si>
  <si>
    <t xml:space="preserve">COMPUTE AND PERCEPTION</t>
  </si>
  <si>
    <t xml:space="preserve">AI compute module</t>
  </si>
  <si>
    <t xml:space="preserve">Edge AI module, &gt;=20 TOPS, for tiled YOLO inference</t>
  </si>
  <si>
    <t xml:space="preserve">e-con Systems Darsi-class India-built edge AI box, or a VVDN / Syrma SGS built carrier around an imported SoM</t>
  </si>
  <si>
    <t xml:space="preserve">4-8 wk</t>
  </si>
  <si>
    <t xml:space="preserve">Sizing §8.2: tiled inference at 2 Hz needs ~24 inferences/s at 640x640.</t>
  </si>
  <si>
    <t xml:space="preserve">NO INDIAN GPU/NPU EXISTS AT THIS CLASS. This is the one genuinely irreducible import. Mitigation: Indian-designed carrier board, Indian enclosure and thermal design, Indian camera, and a model trained on Indian field data. Declare it plainly in the technical report rather than hiding it — evaluators respect an honest gap analysis more than a vague claim.</t>
  </si>
  <si>
    <t xml:space="preserve">Storage</t>
  </si>
  <si>
    <t xml:space="preserve">256 GB M.2 NVMe</t>
  </si>
  <si>
    <t xml:space="preserve">Indian distributor</t>
  </si>
  <si>
    <t xml:space="preserve">Onboard raw-imagery recording feeds the Phase 7 dataset.</t>
  </si>
  <si>
    <t xml:space="preserve">No Indian NAND or controller.</t>
  </si>
  <si>
    <t xml:space="preserve">Camera module</t>
  </si>
  <si>
    <t xml:space="preserve">12 MP MIPI CSI-2 module, S-mount, rolling or global shutter; STURDeCAM / e-CAM class</t>
  </si>
  <si>
    <t xml:space="preserve">e-con Systems (Chennai)</t>
  </si>
  <si>
    <t xml:space="preserve">Sizing §8: at 60 m AGL a 12 MP sensor with ~63° HFOV gives 1.82 cm/px and a 93 px person across a 74 m swath.</t>
  </si>
  <si>
    <t xml:space="preserve">World-class Indian embedded-vision house — 20+ years, 2 M+ cameras shipped. Sensor die (Sony/onsemi) imported; module design, ISP tuning, lens calibration and manufacture are Indian. Ask them to ISP-tune for high-altitude nadir daylight.</t>
  </si>
  <si>
    <t xml:space="preserve">Lens</t>
  </si>
  <si>
    <t xml:space="preserve">6 mm S/CS-mount, low distortion, IR-cut</t>
  </si>
  <si>
    <t xml:space="preserve">e-con Systems / Indian optics house</t>
  </si>
  <si>
    <t xml:space="preserve">f = 6 mm sets HFOV ~63°. Verify by calibration — datasheet FOV figures are routinely optimistic.</t>
  </si>
  <si>
    <t xml:space="preserve">Optical glass largely imported.</t>
  </si>
  <si>
    <t xml:space="preserve">Camera mount</t>
  </si>
  <si>
    <t xml:space="preserve">Rigid nadir mount, silicone isolated, boresight-adjustable then locked</t>
  </si>
  <si>
    <t xml:space="preserve">In-house</t>
  </si>
  <si>
    <t xml:space="preserve">Sizing §11: boresight residual is SYSTEMATIC error that frame averaging cannot remove.</t>
  </si>
  <si>
    <t xml:space="preserve">Cabling and cooling</t>
  </si>
  <si>
    <t xml:space="preserve">CSI ribbon, UART/Ethernet to FC, heatsink</t>
  </si>
  <si>
    <t xml:space="preserve">e-con / local + Indian heatsink extruder</t>
  </si>
  <si>
    <t xml:space="preserve">Keep CSI runs shielded and away from ESC leads.</t>
  </si>
  <si>
    <t xml:space="preserve">COMMUNICATIONS</t>
  </si>
  <si>
    <t xml:space="preserve">Mesh node</t>
  </si>
  <si>
    <t xml:space="preserve">2.4/5.8 GHz 802.11 mesh node running batman-adv, Indian carrier + firmware</t>
  </si>
  <si>
    <t xml:space="preserve">FxUAV Technologies (Burla, Odisha) / Indian SBC house</t>
  </si>
  <si>
    <t xml:space="preserve">Sizing §12: offered load 2.5 Mbps against &gt;=26 Mbps at MCS3, 13.7 dB margin at 600 m.</t>
  </si>
  <si>
    <t xml:space="preserve">Wi-Fi chipsets have no Indian source. FxUAV builds indigenous RF datalinks specifically to reduce this dependency — engage them early and ask what they can supply against this spec.</t>
  </si>
  <si>
    <t xml:space="preserve">5.8 GHz antennas</t>
  </si>
  <si>
    <t xml:space="preserve">3 dBi dipole, 5.15-5.9 GHz, RP-SMA, with pigtails</t>
  </si>
  <si>
    <t xml:space="preserve">Indian RF antenna maker (e.g. Wireless Instruments / local)</t>
  </si>
  <si>
    <t xml:space="preserve">Sizing §12: 24 dBm + 3 dBi = 27 dBm EIRP, legal in the Indian 5.825-5.875 GHz drone allocation.</t>
  </si>
  <si>
    <t xml:space="preserve">Antenna manufacture is well within Indian capability.</t>
  </si>
  <si>
    <t xml:space="preserve">Sub-GHz safety radio</t>
  </si>
  <si>
    <t xml:space="preserve">865-867 MHz (Indian delicensed SRD band) telemetry, abort and recall link</t>
  </si>
  <si>
    <t xml:space="preserve">FxUAV Technologies / Indian LoRa module house</t>
  </si>
  <si>
    <t xml:space="preserve">Sizing §12: 53 dB margin at 600 m. Abort and recall (rule C16) live here because this is the link that does not fail.</t>
  </si>
  <si>
    <t xml:space="preserve">SX126x-class transceiver imported; module, firmware and integration Indian. Confirm ETA for the 865-867 MHz band.</t>
  </si>
  <si>
    <t xml:space="preserve">868 MHz antenna</t>
  </si>
  <si>
    <t xml:space="preserve">2 dBi dipole, RP-SMA</t>
  </si>
  <si>
    <t xml:space="preserve">Indian RF antenna maker</t>
  </si>
  <si>
    <t xml:space="preserve">Mount orthogonally to the 5.8 GHz antennas to reduce coupling.</t>
  </si>
  <si>
    <t xml:space="preserve">PAYLOAD SYSTEM</t>
  </si>
  <si>
    <t xml:space="preserve">Release servo</t>
  </si>
  <si>
    <t xml:space="preserve">Metal-gear digital micro servo, ~2.5 kg·cm</t>
  </si>
  <si>
    <t xml:space="preserve">Indian servo supplier / Zerodrag</t>
  </si>
  <si>
    <t xml:space="preserve">One per magazine station; release gated on 6 m AGL and &lt;0.3 m/s groundspeed.</t>
  </si>
  <si>
    <t xml:space="preserve">Servo motors and ICs imported; some Indian assembly available.</t>
  </si>
  <si>
    <t xml:space="preserve">Magazine housing</t>
  </si>
  <si>
    <t xml:space="preserve">Printed PETG rails, 4 stations at 200 x 100 x 50 mm</t>
  </si>
  <si>
    <t xml:space="preserve">Sizing §13: mount on the CG axis. Releasing 200 g at 50 mm offset shifts CG 2 mm — a STEP input to the attitude loop.</t>
  </si>
  <si>
    <t xml:space="preserve">Positive-lock detent</t>
  </si>
  <si>
    <t xml:space="preserve">Spring detent + mechanical catch, independent of servo power</t>
  </si>
  <si>
    <t xml:space="preserve">In-house + Indian spring maker</t>
  </si>
  <si>
    <t xml:space="preserve">CRITICAL SAFETY ITEM. A brownout or servo failure must not release a kit.</t>
  </si>
  <si>
    <t xml:space="preserve">None.</t>
  </si>
  <si>
    <t xml:space="preserve">Release confirmation switch</t>
  </si>
  <si>
    <t xml:space="preserve">Micro lever switch per station</t>
  </si>
  <si>
    <t xml:space="preserve">Indian electronics distributor</t>
  </si>
  <si>
    <t xml:space="preserve">Feeds per-drone delivery status to the GCS, which rule C11 requires displayed.</t>
  </si>
  <si>
    <t xml:space="preserve">Servo harness</t>
  </si>
  <si>
    <t xml:space="preserve">4-channel PWM from FC AUX</t>
  </si>
  <si>
    <t xml:space="preserve">Local</t>
  </si>
  <si>
    <t xml:space="preserve">Routed through the FC so the arming state gates release.</t>
  </si>
  <si>
    <t xml:space="preserve">TOTAL</t>
  </si>
  <si>
    <t xml:space="preserve">02 — PAYLOAD, KITS AND GROUND-TRUTH TARGETS (fleet quantities)</t>
  </si>
  <si>
    <t xml:space="preserve">Near-100% indigenous — this whole category is local fabrication and consumables.</t>
  </si>
  <si>
    <t xml:space="preserve">SURVIVOR KITS — rule C6: exactly 200 g, 200 x 100 x 50 mm rigid box</t>
  </si>
  <si>
    <t xml:space="preserve">Kit outer box</t>
  </si>
  <si>
    <t xml:space="preserve">Rigid ABS / corrugated PP, hi-vis orange, sealed</t>
  </si>
  <si>
    <t xml:space="preserve">Local injection moulder / packaging fabricator</t>
  </si>
  <si>
    <t xml:space="preserve">Rule C6 fixes dimensions. 14 built for 12 flown plus 2 spares. Sizing §10: must survive 9.7 m/s impact.</t>
  </si>
  <si>
    <t xml:space="preserve">None. Indian moulding capacity is deep and cheap.</t>
  </si>
  <si>
    <t xml:space="preserve">Impact padding</t>
  </si>
  <si>
    <t xml:space="preserve">Closed-cell EVA foam liner, 8 mm</t>
  </si>
  <si>
    <t xml:space="preserve">Local foam converter</t>
  </si>
  <si>
    <t xml:space="preserve">Sizing §10: 9.7 m/s impact from a 6 m release.</t>
  </si>
  <si>
    <t xml:space="preserve">Kit contents</t>
  </si>
  <si>
    <t xml:space="preserve">Bandage, ORS sachets, whistle, glow stick, emergency blanket, water pouch</t>
  </si>
  <si>
    <t xml:space="preserve">Indian pharmacy / local (ORS is an Indian staple product)</t>
  </si>
  <si>
    <t xml:space="preserve">Contents plus box plus padding must total exactly 200.0 g. Weigh and record every kit.</t>
  </si>
  <si>
    <t xml:space="preserve">Trim ballast</t>
  </si>
  <si>
    <t xml:space="preserve">Steel shot in a sealed sachet to bring each kit to 200.0 g</t>
  </si>
  <si>
    <t xml:space="preserve">Rule C6 is exact. Use a 0.1 g scale.</t>
  </si>
  <si>
    <t xml:space="preserve">Test dummy kits</t>
  </si>
  <si>
    <t xml:space="preserve">Ballast-only boxes, same mass and dimensions</t>
  </si>
  <si>
    <t xml:space="preserve">Development Plan P8 needs &gt;=30 instrumented drops. Do not consume real kits in testing.</t>
  </si>
  <si>
    <t xml:space="preserve">GROUND-TRUTH TARGETS for the P7 detection and P8 delivery campaigns</t>
  </si>
  <si>
    <t xml:space="preserve">Survivor mannequin</t>
  </si>
  <si>
    <t xml:space="preserve">Human-size, articulable to supine/prone/seated, weather-tolerant</t>
  </si>
  <si>
    <t xml:space="preserve">Local mannequin / fibreglass fabricator</t>
  </si>
  <si>
    <t xml:space="preserve">Development Plan P7: SAR targets are ~0.1% of frame area in atypical postures. Train and test against the same.</t>
  </si>
  <si>
    <t xml:space="preserve">IMPORTANT: dress them in clothing typical of an Indian flood-affected population, not Western SAR-dataset clothing. That distribution shift is exactly what HERIDAL/SARD will not teach your model.</t>
  </si>
  <si>
    <t xml:space="preserve">Target clothing sets</t>
  </si>
  <si>
    <t xml:space="preserve">Varied contrast, including low-contrast earth tones and saris/kurtas</t>
  </si>
  <si>
    <t xml:space="preserve">Prevents the model learning "bright clothing" as the detection cue.</t>
  </si>
  <si>
    <t xml:space="preserve">Drop-zone target mat</t>
  </si>
  <si>
    <t xml:space="preserve">5 m concentric-ring mat with a surveyed centre</t>
  </si>
  <si>
    <t xml:space="preserve">Local fabricator</t>
  </si>
  <si>
    <t xml:space="preserve">Measures delivery CEP directly (Sizing §10 target &lt;=3 m).</t>
  </si>
  <si>
    <t xml:space="preserve">Surveyed calibration markers</t>
  </si>
  <si>
    <t xml:space="preserve">600 mm checkerboard / AprilTag panels, RTK-surveyed positions</t>
  </si>
  <si>
    <t xml:space="preserve">Print + mount, in-house</t>
  </si>
  <si>
    <t xml:space="preserve">Sizing §11: boresight and lever-arm calibration corrects SYSTEMATIC error that averaging cannot.</t>
  </si>
  <si>
    <t xml:space="preserve">03 — GROUND SEGMENT AND FIELD INFRASTRUCTURE, INDIAN SOURCES</t>
  </si>
  <si>
    <t xml:space="preserve">Rule C10 allows exactly one Ground Control Station. Indian power, solar, safety and field infrastructure are strong; computing hardware is the weak spot.</t>
  </si>
  <si>
    <t xml:space="preserve">GROUND CONTROL STATION</t>
  </si>
  <si>
    <t xml:space="preserve">GCS laptop</t>
  </si>
  <si>
    <t xml:space="preserve">16 GB RAM, discrete GPU, 1 TB SSD</t>
  </si>
  <si>
    <t xml:space="preserve">Indian-manufactured unit (Dixon / VVDN / Syrma-built brands, or HCL)</t>
  </si>
  <si>
    <t xml:space="preserve">Runs the custom GCS, MAVLink router, mesh node and video decode. Rule C10 permits exactly ONE GCS.</t>
  </si>
  <si>
    <t xml:space="preserve">Assembled in India under PLI; CPU/GPU/memory imported. There is no Indian x86 or discrete GPU.</t>
  </si>
  <si>
    <t xml:space="preserve">Backup laptop</t>
  </si>
  <si>
    <t xml:space="preserve">Cloned image, ready to swap</t>
  </si>
  <si>
    <t xml:space="preserve">Same</t>
  </si>
  <si>
    <t xml:space="preserve">A GCS failure ends the mission. Clone it and keep it powered in the field box.</t>
  </si>
  <si>
    <t xml:space="preserve">Sun hood + observer monitor</t>
  </si>
  <si>
    <t xml:space="preserve">Laptop hood plus a 15 in portable monitor for evaluators</t>
  </si>
  <si>
    <t xml:space="preserve">Local fabricator + Indian distributor</t>
  </si>
  <si>
    <t xml:space="preserve">You cannot read a laptop screen in Indian midday sun (rule C15: daylight outdoors). Judges watch this screen.</t>
  </si>
  <si>
    <t xml:space="preserve">Hood is locally made; panel imported.</t>
  </si>
  <si>
    <t xml:space="preserve">MESH GROUND NODE</t>
  </si>
  <si>
    <t xml:space="preserve">Ground mesh node</t>
  </si>
  <si>
    <t xml:space="preserve">Same radio as the air nodes, weatherproof enclosure</t>
  </si>
  <si>
    <t xml:space="preserve">FxUAV Technologies / Indian SBC house</t>
  </si>
  <si>
    <t xml:space="preserve">Sizing §12.</t>
  </si>
  <si>
    <t xml:space="preserve">Wi-Fi chipset imported.</t>
  </si>
  <si>
    <t xml:space="preserve">Sector antenna</t>
  </si>
  <si>
    <t xml:space="preserve">9 dBi, 5.15-5.9 GHz, 90-120° sector</t>
  </si>
  <si>
    <t xml:space="preserve">Indian RF antenna manufacturer</t>
  </si>
  <si>
    <t xml:space="preserve">Sizing §12: 9 dBi at the GCS gives 33 dBm EIRP (legal) and 13.7 dB margin at 600 m.</t>
  </si>
  <si>
    <t xml:space="preserve">Well within Indian capability.</t>
  </si>
  <si>
    <t xml:space="preserve">Antenna mast</t>
  </si>
  <si>
    <t xml:space="preserve">2 m telescopic mast, tripod and guys</t>
  </si>
  <si>
    <t xml:space="preserve">Indian mast/tripod maker</t>
  </si>
  <si>
    <t xml:space="preserve">Sizing §12: elevating the ground antenna is the cheapest link-margin gain available.</t>
  </si>
  <si>
    <t xml:space="preserve">Low-loss coax</t>
  </si>
  <si>
    <t xml:space="preserve">LMR-240 equivalent, 3 m, RP-SMA</t>
  </si>
  <si>
    <t xml:space="preserve">Indian RF cable assembler</t>
  </si>
  <si>
    <t xml:space="preserve">At 5.8 GHz cheap coax costs ~1 dB/m. Keep runs short.</t>
  </si>
  <si>
    <t xml:space="preserve">RTK BASE STATION — pending organiser confirmation (Dev Plan clarification Q1)</t>
  </si>
  <si>
    <t xml:space="preserve">RTK base receiver</t>
  </si>
  <si>
    <t xml:space="preserve">NavIC + GNSS base with survey-grade antenna</t>
  </si>
  <si>
    <t xml:space="preserve">Accord Software &amp; Systems (Bengaluru) / Elena Geo Systems / Teravolt Labs</t>
  </si>
  <si>
    <t xml:space="preserve">4 wk</t>
  </si>
  <si>
    <t xml:space="preserve">Sizing §11: takes geotag CEP50 from ~2.5 m to ~1.1 m. Corrections travel on the team local link, not the internet.</t>
  </si>
  <si>
    <t xml:space="preserve">Accord has decades of Indian GNSS receiver heritage including NavIC. Confirm base-mode RTCM output and rover compatibility with the airborne receiver you choose.</t>
  </si>
  <si>
    <t xml:space="preserve">Survey tripod + tribrach</t>
  </si>
  <si>
    <t xml:space="preserve">Fixed-height survey tripod</t>
  </si>
  <si>
    <t xml:space="preserve">Indian survey equipment supplier</t>
  </si>
  <si>
    <t xml:space="preserve">Base position must be stable and repeatable across the campaign.</t>
  </si>
  <si>
    <t xml:space="preserve">Base-to-rover link</t>
  </si>
  <si>
    <t xml:space="preserve">865-867 MHz RTCM broadcast</t>
  </si>
  <si>
    <t xml:space="preserve">FxUAV / Indian module house</t>
  </si>
  <si>
    <t xml:space="preserve">Team-owned local link, compliant with rule C12.</t>
  </si>
  <si>
    <t xml:space="preserve">FIELD POWER AND INFRASTRUCTURE</t>
  </si>
  <si>
    <t xml:space="preserve">Portable power station</t>
  </si>
  <si>
    <t xml:space="preserve">1.5-2 kWh LiFePO4 with AC output</t>
  </si>
  <si>
    <t xml:space="preserve">Okaya / Luminous / Exide / Servotech (all Indian)</t>
  </si>
  <si>
    <t xml:space="preserve">Charging 3 x ~292 Wh packs between sorties plus GCS and instruments; a test day is 6-10 sorties.</t>
  </si>
  <si>
    <t xml:space="preserve">Indian pack assembly and inverter; cells imported. Strong Indian option here.</t>
  </si>
  <si>
    <t xml:space="preserve">Solar panel</t>
  </si>
  <si>
    <t xml:space="preserve">200 W folding</t>
  </si>
  <si>
    <t xml:space="preserve">Waaree / Vikram Solar / Adani Solar (Indian)</t>
  </si>
  <si>
    <t xml:space="preserve">Optional; useful for remote P7 data-campaign sites.</t>
  </si>
  <si>
    <t xml:space="preserve">India has genuine world-scale PV manufacture.</t>
  </si>
  <si>
    <t xml:space="preserve">Field table, canopy, weights</t>
  </si>
  <si>
    <t xml:space="preserve">Folding table, 3x3 m canopy</t>
  </si>
  <si>
    <t xml:space="preserve">Shade for the GCS and a stable surface.</t>
  </si>
  <si>
    <t xml:space="preserve">Landing pad</t>
  </si>
  <si>
    <t xml:space="preserve">3.66 x 3.66 m marked pad, pegged, with sequenced position markers</t>
  </si>
  <si>
    <t xml:space="preserve">Rule C14 fixes this at 12 ft. Practise every launch and recovery on an exactly-sized pad from day one.</t>
  </si>
  <si>
    <t xml:space="preserve">Anemometer + windsock</t>
  </si>
  <si>
    <t xml:space="preserve">Handheld logging anemometer, 600 mm windsock</t>
  </si>
  <si>
    <t xml:space="preserve">Indian instrument supplier (e.g. HTC / Metravi)</t>
  </si>
  <si>
    <t xml:space="preserve">Sizing §9.2: the wind policy is constant GROUNDSPEED. You must measure wind to verify it and to log conditions per sortie.</t>
  </si>
  <si>
    <t xml:space="preserve">Sensor imported, assembly Indian.</t>
  </si>
  <si>
    <t xml:space="preserve">Equipment cases</t>
  </si>
  <si>
    <t xml:space="preserve">Wheeled hard cases with custom foam, 3 aircraft + ground kit</t>
  </si>
  <si>
    <t xml:space="preserve">Indian case maker (e.g. Aristo / local) + local foam cutting</t>
  </si>
  <si>
    <t xml:space="preserve">Sizing §15: the 5-minute setup starts with getting aircraft out of cases. Foam layout is part of the choreography.</t>
  </si>
  <si>
    <t xml:space="preserve">SAFETY AND COMPLIANCE</t>
  </si>
  <si>
    <t xml:space="preserve">Li-ion safe bags</t>
  </si>
  <si>
    <t xml:space="preserve">Fire-resistant charging/storage bags</t>
  </si>
  <si>
    <t xml:space="preserve">Local supplier</t>
  </si>
  <si>
    <t xml:space="preserve">Non-negotiable with 292 Wh packs in a student lab.</t>
  </si>
  <si>
    <t xml:space="preserve">Fire extinguisher + sand</t>
  </si>
  <si>
    <t xml:space="preserve">Lithium-rated extinguisher, dry sand bucket</t>
  </si>
  <si>
    <t xml:space="preserve">Indian extinguisher manufacturer</t>
  </si>
  <si>
    <t xml:space="preserve">Water and CO2 will not stop a lithium fire.</t>
  </si>
  <si>
    <t xml:space="preserve">None. Indian fire-safety manufacture is strong.</t>
  </si>
  <si>
    <t xml:space="preserve">First aid kit</t>
  </si>
  <si>
    <t xml:space="preserve">Trauma-capable, laceration dressings</t>
  </si>
  <si>
    <t xml:space="preserve">Local pharmacy</t>
  </si>
  <si>
    <t xml:space="preserve">18 in carbon props cause serious injuries. Have this before the first spin-up.</t>
  </si>
  <si>
    <t xml:space="preserve">Hi-vis vests + eye protection</t>
  </si>
  <si>
    <t xml:space="preserve">For 2 setup crew plus safety officer</t>
  </si>
  <si>
    <t xml:space="preserve">Local safety supplier</t>
  </si>
  <si>
    <t xml:space="preserve">Range discipline; also signals professionalism to evaluators.</t>
  </si>
  <si>
    <t xml:space="preserve">Safety-pilot transmitter</t>
  </si>
  <si>
    <t xml:space="preserve">ELRS/2.4 GHz TX matched to the aircraft receivers</t>
  </si>
  <si>
    <t xml:space="preserve">Zerodrag (India) / Indian distributor</t>
  </si>
  <si>
    <t xml:space="preserve">Manual override during testing; unused in the scored run.</t>
  </si>
  <si>
    <t xml:space="preserve">Barrier tape and cones</t>
  </si>
  <si>
    <t xml:space="preserve">100 m tape, 8 cones</t>
  </si>
  <si>
    <t xml:space="preserve">Defines the flight area and keeps spectators out of the descent cone.</t>
  </si>
  <si>
    <t xml:space="preserve">04 — TEST, LAB AND CALIBRATION EQUIPMENT, INDIAN SOURCES</t>
  </si>
  <si>
    <t xml:space="preserve">India is strong in instruments, balances, hand tools and 3D printers. Weak in hobby chargers and cell testers — outsource pack building instead.</t>
  </si>
  <si>
    <t xml:space="preserve">PROPULSION AND POWER CHARACTERISATION — retires assumptions A1, A2, A4, A5 (Sizing §16)</t>
  </si>
  <si>
    <t xml:space="preserve">Thrust stand</t>
  </si>
  <si>
    <t xml:space="preserve">Motor/prop test stand: thrust + torque + RPM + electrical power, to 5 kgf</t>
  </si>
  <si>
    <t xml:space="preserve">Build in-house around Indian load cells (Sensocon, Instrumentation Ltd Kota) + Indian DAQ</t>
  </si>
  <si>
    <t xml:space="preserve">Sizing §16 A1: figure of merit is assumed 0.60 and is the LARGEST uncertainty in the power model (±0.1 gives ∓17% hover power). This instrument replaces the assumption with data.</t>
  </si>
  <si>
    <t xml:space="preserve">Building it in India costs a third of an imported RCbenchmark and is itself a legitimate engineering deliverable for the technical report. Indian load cells are good.</t>
  </si>
  <si>
    <t xml:space="preserve">Power analyser</t>
  </si>
  <si>
    <t xml:space="preserve">Inline watt meter, 130 A, logging</t>
  </si>
  <si>
    <t xml:space="preserve">Meco Instruments (Mumbai) / Indian distributor</t>
  </si>
  <si>
    <t xml:space="preserve">Measures real hover current against the 36 A predicted (Sizing §6).</t>
  </si>
  <si>
    <t xml:space="preserve">Meco is a genuine Indian instrument manufacturer.</t>
  </si>
  <si>
    <t xml:space="preserve">Battery charger</t>
  </si>
  <si>
    <t xml:space="preserve">6S, 300-1000 W, balance charging, 2 units</t>
  </si>
  <si>
    <t xml:space="preserve">Indian drone charger supplier (Bharath Components / IoTechWorld) or Indian bench PSU + BMS CC/CV</t>
  </si>
  <si>
    <t xml:space="preserve">A 292 Wh pack at 1C needs ~300 W. Two chargers keep a test day moving.</t>
  </si>
  <si>
    <t xml:space="preserve">GAP: hobby-grade balance chargers are almost entirely imported. Agri-drone charger suppliers in India are the closest domestic option — ask them for a 6S variant.</t>
  </si>
  <si>
    <t xml:space="preserve">Charger PSU</t>
  </si>
  <si>
    <t xml:space="preserve">24 V 40 A bench/server supply</t>
  </si>
  <si>
    <t xml:space="preserve">Aplab / Scientific Mes-Technik (Indian) </t>
  </si>
  <si>
    <t xml:space="preserve">Feeds the chargers at rated power.</t>
  </si>
  <si>
    <t xml:space="preserve">Aplab is a long-standing Indian instrument maker.</t>
  </si>
  <si>
    <t xml:space="preserve">Cell tester</t>
  </si>
  <si>
    <t xml:space="preserve">21700 capacity and internal-resistance tester, 8-bay</t>
  </si>
  <si>
    <t xml:space="preserve">Indian distributor; or build around an Indian DAQ</t>
  </si>
  <si>
    <t xml:space="preserve">Every cell capacity- and IR-matched before pack assembly. Counterfeit 21700s are widespread.</t>
  </si>
  <si>
    <t xml:space="preserve">If you buy from an Indian pack house, contract them to do the matching and hand you the data — that removes the need to own this.</t>
  </si>
  <si>
    <t xml:space="preserve">Spot welder</t>
  </si>
  <si>
    <t xml:space="preserve">21700-capable battery spot welder</t>
  </si>
  <si>
    <t xml:space="preserve">Indian fabricator / Indian welding supplier</t>
  </si>
  <si>
    <t xml:space="preserve">Soldering directly to cells damages them.</t>
  </si>
  <si>
    <t xml:space="preserve">Or outsource pack building entirely to an Indian pack house — recommended.</t>
  </si>
  <si>
    <t xml:space="preserve">MEASUREMENT AND CALIBRATION</t>
  </si>
  <si>
    <t xml:space="preserve">Precision scale</t>
  </si>
  <si>
    <t xml:space="preserve">0.1 g resolution, 5 kg capacity</t>
  </si>
  <si>
    <t xml:space="preserve">Aczet (Mumbai) / Contech (Indian balance manufacturers)</t>
  </si>
  <si>
    <t xml:space="preserve">Every part weighed on arrival; kits trimmed to exactly 200 g (rule C6).</t>
  </si>
  <si>
    <t xml:space="preserve">Aczet and Contech are real Indian balance manufacturers.</t>
  </si>
  <si>
    <t xml:space="preserve">Hanging scale — FLEET WEIGH-IN</t>
  </si>
  <si>
    <t xml:space="preserve">Calibrated, 50 kg, 10 g resolution</t>
  </si>
  <si>
    <t xml:space="preserve">Contech / Essae-Teraoka (Bengaluru)</t>
  </si>
  <si>
    <t xml:space="preserve">Rule C2 is a pass/fail check at 25 kg. Own a calibrated scale; do not discover a discrepancy at the venue.</t>
  </si>
  <si>
    <t xml:space="preserve">Calipers and micrometer</t>
  </si>
  <si>
    <t xml:space="preserve">150 mm digital calipers, 0-25 mm micrometer</t>
  </si>
  <si>
    <t xml:space="preserve">Baker Gauges India (Pune) / Mitutoyo South Asia</t>
  </si>
  <si>
    <t xml:space="preserve">CF tube OD/ID verification.</t>
  </si>
  <si>
    <t xml:space="preserve">Baker Gauges is an Indian precision metrology manufacturer.</t>
  </si>
  <si>
    <t xml:space="preserve">Torque driver</t>
  </si>
  <si>
    <t xml:space="preserve">1-6 N·m adjustable with hex/Torx bits</t>
  </si>
  <si>
    <t xml:space="preserve">Groz / Taparia (Indian) or Indian distributor</t>
  </si>
  <si>
    <t xml:space="preserve">Motor and arm-clamp bolts must be torqued to spec. Under-torqued clamps creep; over-torqued crush CF.</t>
  </si>
  <si>
    <t xml:space="preserve">Propeller balancer</t>
  </si>
  <si>
    <t xml:space="preserve">Magnetic balancer for 18 in props</t>
  </si>
  <si>
    <t xml:space="preserve">Local fabricator / Indian distributor</t>
  </si>
  <si>
    <t xml:space="preserve">Sizing §13: vibration fatigue is the real structural driver, and unbalanced props are the main source.</t>
  </si>
  <si>
    <t xml:space="preserve">Easily made in-house.</t>
  </si>
  <si>
    <t xml:space="preserve">Camera calibration target</t>
  </si>
  <si>
    <t xml:space="preserve">A2 checkerboard on a rigid flat board + AprilTag set</t>
  </si>
  <si>
    <t xml:space="preserve">Indian printer + local rigid mounting</t>
  </si>
  <si>
    <t xml:space="preserve">Sizing §11: intrinsics AND the boresight extrinsic. Skipping the second leaves a 3-5 m systematic geotag bias.</t>
  </si>
  <si>
    <t xml:space="preserve">Flatness matters — mount on aluminium composite, not paper.</t>
  </si>
  <si>
    <t xml:space="preserve">BENCH AND FABRICATION</t>
  </si>
  <si>
    <t xml:space="preserve">Soldering station</t>
  </si>
  <si>
    <t xml:space="preserve">Temperature-controlled 80-100 W with a large chisel tip</t>
  </si>
  <si>
    <t xml:space="preserve">Soldron (Indian) / Metcal India</t>
  </si>
  <si>
    <t xml:space="preserve">10 AWG to a high-current connector needs real thermal mass. A 30 W iron gives cold joints and in-flight failures.</t>
  </si>
  <si>
    <t xml:space="preserve">Soldron is an established Indian brand.</t>
  </si>
  <si>
    <t xml:space="preserve">Hot air rework + heat gun</t>
  </si>
  <si>
    <t xml:space="preserve">SMD rework and heat shrink</t>
  </si>
  <si>
    <t xml:space="preserve">Bench power supply</t>
  </si>
  <si>
    <t xml:space="preserve">0-30 V 10 A, current-limited</t>
  </si>
  <si>
    <t xml:space="preserve">Aplab / Scientific Mes-Technik (Indian)</t>
  </si>
  <si>
    <t xml:space="preserve">Bring up new boards current-limited. Saves at least one compute module.</t>
  </si>
  <si>
    <t xml:space="preserve">Multimeter</t>
  </si>
  <si>
    <t xml:space="preserve">True-RMS, 10 A range</t>
  </si>
  <si>
    <t xml:space="preserve">Meco Instruments (Mumbai)</t>
  </si>
  <si>
    <t xml:space="preserve">Meco manufactures in India.</t>
  </si>
  <si>
    <t xml:space="preserve">3D printer</t>
  </si>
  <si>
    <t xml:space="preserve">FDM, 250 mm bed, PETG/ASA capable</t>
  </si>
  <si>
    <t xml:space="preserve">Fracktal Works (Bengaluru) / Divide By Zero (Mumbai) / AHA 3D (Jaipur)</t>
  </si>
  <si>
    <t xml:space="preserve">Canopy, magazine, ducts, jigs, and dozens of release-mechanism iterations. Owning one beats outsourcing.</t>
  </si>
  <si>
    <t xml:space="preserve">Genuine Indian 3D printer manufacturers with local support.</t>
  </si>
  <si>
    <t xml:space="preserve">Hand tool set</t>
  </si>
  <si>
    <t xml:space="preserve">Hex, Torx, pliers, strippers, flush cutters, tweezers</t>
  </si>
  <si>
    <t xml:space="preserve">Taparia / Groz / Jhalani (Indian)</t>
  </si>
  <si>
    <t xml:space="preserve">Indian hand tools are excellent and cheap.</t>
  </si>
  <si>
    <t xml:space="preserve">Rotary tool + CF dust extraction</t>
  </si>
  <si>
    <t xml:space="preserve">Rotary tool, diamond discs, extraction, P2 masks</t>
  </si>
  <si>
    <t xml:space="preserve">Indian distributor + local extraction rig</t>
  </si>
  <si>
    <t xml:space="preserve">CARBON DUST IS A RESPIRATORY AND ELECTRICAL HAZARD. Extraction and masks are not optional.</t>
  </si>
  <si>
    <t xml:space="preserve">SIMULATION AND DEVELOPMENT</t>
  </si>
  <si>
    <t xml:space="preserve">Dev workstation / GPU</t>
  </si>
  <si>
    <t xml:space="preserve">RTX-class GPU, 32 GB RAM, for model training and SITL</t>
  </si>
  <si>
    <t xml:space="preserve">Indian-assembled workstation (VVDN / Dixon / local integrator)</t>
  </si>
  <si>
    <t xml:space="preserve">Development Plan P4/P7: 200-run Monte Carlo campaigns and detector training.</t>
  </si>
  <si>
    <t xml:space="preserve">GPU silicon imported. Alternative: Indian GPU cloud (E2E Networks, Yotta, NxtGen) — a genuinely indigenous compute option for TRAINING, and NIDAR winners receive cloud credits.</t>
  </si>
  <si>
    <t xml:space="preserve">Network switch and cabling</t>
  </si>
  <si>
    <t xml:space="preserve">8-port gigabit switch, patch cables</t>
  </si>
  <si>
    <t xml:space="preserve">Indian networking supplier</t>
  </si>
  <si>
    <t xml:space="preserve">Multi-machine SITL and mesh bench testing.</t>
  </si>
  <si>
    <t xml:space="preserve">05 — SPARES AND CONSUMABLES, INDIAN SOURCES</t>
  </si>
  <si>
    <t xml:space="preserve">Domestic sourcing shortens spares lead time from 4-6 weeks to 2-3 — which is worth more than the price saving when something breaks in week 28.</t>
  </si>
  <si>
    <t xml:space="preserve">FLIGHT SPARES — Development Plan R4: a crash near the finals must not end the programme</t>
  </si>
  <si>
    <t xml:space="preserve">Spare motors</t>
  </si>
  <si>
    <t xml:space="preserve">One full aircraft set</t>
  </si>
  <si>
    <t xml:space="preserve">Bharath Components / Mechtex</t>
  </si>
  <si>
    <t xml:space="preserve">Motors are the longest-lead flight-critical item — and domestic lead time beats import by weeks.</t>
  </si>
  <si>
    <t xml:space="preserve">Spare ESCs</t>
  </si>
  <si>
    <t xml:space="preserve">One full set</t>
  </si>
  <si>
    <t xml:space="preserve">Flameback Tech</t>
  </si>
  <si>
    <t xml:space="preserve">ESCs fail from vibration and heat.</t>
  </si>
  <si>
    <t xml:space="preserve">Spare propeller pairs</t>
  </si>
  <si>
    <t xml:space="preserve">18 x 6.1 CF folding</t>
  </si>
  <si>
    <t xml:space="preserve">S R Aerospace / Bharath Components</t>
  </si>
  <si>
    <t xml:space="preserve">Props are consumed by every hard landing.</t>
  </si>
  <si>
    <t xml:space="preserve">Spare arm assemblies</t>
  </si>
  <si>
    <t xml:space="preserve">Tube + clamp + mount, pre-built</t>
  </si>
  <si>
    <t xml:space="preserve">Arms are what break in a tip-over. Pre-build so a field repair is a 10-minute swap.</t>
  </si>
  <si>
    <t xml:space="preserve">Spare flight controller</t>
  </si>
  <si>
    <t xml:space="preserve">Pre-flashed with the frozen parameter set</t>
  </si>
  <si>
    <t xml:space="preserve">Agam Robotics</t>
  </si>
  <si>
    <t xml:space="preserve">Development Plan P10 config freeze.</t>
  </si>
  <si>
    <t xml:space="preserve">Spare GNSS</t>
  </si>
  <si>
    <t xml:space="preserve">NavIC receiver + antenna</t>
  </si>
  <si>
    <t xml:space="preserve">Teravolt Labs / Accord</t>
  </si>
  <si>
    <t xml:space="preserve">Spare compute module</t>
  </si>
  <si>
    <t xml:space="preserve">Imaged, with the inference engine pre-built</t>
  </si>
  <si>
    <t xml:space="preserve">As per tab 01</t>
  </si>
  <si>
    <t xml:space="preserve">Sizing §15: never build the inference engine at boot. The spare must be imaged and warm-cached too.</t>
  </si>
  <si>
    <t xml:space="preserve">Same import gap as the primary.</t>
  </si>
  <si>
    <t xml:space="preserve">Spare camera + lens</t>
  </si>
  <si>
    <t xml:space="preserve">Boresight-calibrated on a spare mount</t>
  </si>
  <si>
    <t xml:space="preserve">e-con Systems</t>
  </si>
  <si>
    <t xml:space="preserve">Swapping the camera invalidates the boresight calibration — calibrate the spare in advance.</t>
  </si>
  <si>
    <t xml:space="preserve">Spare battery packs</t>
  </si>
  <si>
    <t xml:space="preserve">Complete 6S3P packs</t>
  </si>
  <si>
    <t xml:space="preserve">Indian pack house</t>
  </si>
  <si>
    <t xml:space="preserve">Two packs per aircraft minimum so a test day is not charger-limited; the third is the crash reserve.</t>
  </si>
  <si>
    <t xml:space="preserve">COMPLETE SPARE AIRCRAFT</t>
  </si>
  <si>
    <t xml:space="preserve">Fourth airframe, built and flight-tested</t>
  </si>
  <si>
    <t xml:space="preserve">In-house from this BOM</t>
  </si>
  <si>
    <t xml:space="preserve">8 wk</t>
  </si>
  <si>
    <t xml:space="preserve">STRONGLY RECOMMENDED. Rule C1 needs only 2 flying, but a pre-flight failure on finals day with no spare means flying 2 and losing coverage.</t>
  </si>
  <si>
    <t xml:space="preserve">Domestic supply makes this far more affordable than with imported parts.</t>
  </si>
  <si>
    <t xml:space="preserve">CONSUMABLES</t>
  </si>
  <si>
    <t xml:space="preserve">Threadlocker and adhesives</t>
  </si>
  <si>
    <t xml:space="preserve">Medium-strength threadlocker, CA, structural epoxy</t>
  </si>
  <si>
    <t xml:space="preserve">Pidilite / Anabond (Indian adhesive manufacturers)</t>
  </si>
  <si>
    <t xml:space="preserve">Every fastener on a vibrating airframe. Medium strength so field disassembly stays possible.</t>
  </si>
  <si>
    <t xml:space="preserve">Anabond and Pidilite are strong Indian adhesive makers.</t>
  </si>
  <si>
    <t xml:space="preserve">Heat shrink, tape, lacing</t>
  </si>
  <si>
    <t xml:space="preserve">Adhesive-lined shrink, Kapton, fibreglass tape, lacing cord, zip ties</t>
  </si>
  <si>
    <t xml:space="preserve">Local electrical supplier</t>
  </si>
  <si>
    <t xml:space="preserve">Solder and flux</t>
  </si>
  <si>
    <t xml:space="preserve">60/40 1 mm, no-clean flux, desoldering braid</t>
  </si>
  <si>
    <t xml:space="preserve">Indian solder manufacturer</t>
  </si>
  <si>
    <t xml:space="preserve">3D printer filament</t>
  </si>
  <si>
    <t xml:space="preserve">PETG 3 kg, ASA 1 kg, TPU 1 kg</t>
  </si>
  <si>
    <t xml:space="preserve">WOL3D / Fila3D / Indian extruders</t>
  </si>
  <si>
    <t xml:space="preserve">Magazine and canopy iterations consume more than you expect.</t>
  </si>
  <si>
    <t xml:space="preserve">Extrusion Indian, resin pellets imported.</t>
  </si>
  <si>
    <t xml:space="preserve">Carbon plate stock</t>
  </si>
  <si>
    <t xml:space="preserve">2.5 and 3 mm sheets, 400 x 500 mm</t>
  </si>
  <si>
    <t xml:space="preserve">Kineco / Composite Technology Park</t>
  </si>
  <si>
    <t xml:space="preserve">Plate re-cuts and repair doublers.</t>
  </si>
  <si>
    <t xml:space="preserve">PPE and cleaning</t>
  </si>
  <si>
    <t xml:space="preserve">Nitrile gloves, P2 masks, IPA, lint-free wipes, compressed air</t>
  </si>
  <si>
    <t xml:space="preserve">CF machining, epoxy work, lens and connector cleaning.</t>
  </si>
  <si>
    <t xml:space="preserve">06 — SOFTWARE, DATA AND COMPLIANCE</t>
  </si>
  <si>
    <t xml:space="preserve">Software is nation-neutral open source. The indigenous asset here is the Indian field dataset — build it, and consider publishing it.</t>
  </si>
  <si>
    <t xml:space="preserve">FLIGHT, AUTONOMY AND PERCEPTION STACK — open source, zero licence cost</t>
  </si>
  <si>
    <t xml:space="preserve">Autopilot firmware</t>
  </si>
  <si>
    <t xml:space="preserve">ArduPilot Copter or PX4</t>
  </si>
  <si>
    <t xml:space="preserve">Open source; Indian FC vendors ship supported builds</t>
  </si>
  <si>
    <t xml:space="preserve">Sizing §1.</t>
  </si>
  <si>
    <t xml:space="preserve">Both Agam and several Indian FCs run the standard stack, so you keep the ecosystem.</t>
  </si>
  <si>
    <t xml:space="preserve">Middleware and bridge</t>
  </si>
  <si>
    <t xml:space="preserve">ROS 2 + Fast DDS, MAVROS or uXRCE-DDS</t>
  </si>
  <si>
    <t xml:space="preserve">Open source</t>
  </si>
  <si>
    <t xml:space="preserve">DDS discovery and QoS map well to a lossy mobile mesh.</t>
  </si>
  <si>
    <t xml:space="preserve">MAVLink router</t>
  </si>
  <si>
    <t xml:space="preserve">mavlink-router / MAVProxy</t>
  </si>
  <si>
    <t xml:space="preserve">Rule C10: multiplexes 3 SYSIDs into ONE ground station.</t>
  </si>
  <si>
    <t xml:space="preserve">Mesh routing</t>
  </si>
  <si>
    <t xml:space="preserve">batman-adv</t>
  </si>
  <si>
    <t xml:space="preserve">Layer-2 mesh — the same technology commercial MANET radios run underneath.</t>
  </si>
  <si>
    <t xml:space="preserve">Simulator</t>
  </si>
  <si>
    <t xml:space="preserve">Gazebo + SITL</t>
  </si>
  <si>
    <t xml:space="preserve">Development Plan P4: 200-run Monte Carlo before any hardware flies.</t>
  </si>
  <si>
    <t xml:space="preserve">Coverage planner</t>
  </si>
  <si>
    <t xml:space="preserve">DARP reference implementation</t>
  </si>
  <si>
    <t xml:space="preserve">Equal-area partitioning anchored to a common launch point.</t>
  </si>
  <si>
    <t xml:space="preserve">Task allocation</t>
  </si>
  <si>
    <t xml:space="preserve">CBBA reference implementation</t>
  </si>
  <si>
    <t xml:space="preserve">Choi, Brunet &amp; How (2009): provable conflict-free convergence.</t>
  </si>
  <si>
    <t xml:space="preserve">Detector and runtime</t>
  </si>
  <si>
    <t xml:space="preserve">YOLO-class detector + vendor inference runtime + SAHI tiling</t>
  </si>
  <si>
    <t xml:space="preserve">Sizing §8.2.</t>
  </si>
  <si>
    <t xml:space="preserve">Check the AGPL terms of Ultralytics against NIDAR IP conditions; MMDetection (Apache 2.0) is the safe alternative.</t>
  </si>
  <si>
    <t xml:space="preserve">VEGA toolchain</t>
  </si>
  <si>
    <t xml:space="preserve">RISC-V GCC toolchain and BSP for the VEGA kits</t>
  </si>
  <si>
    <t xml:space="preserve">C-DAC (MeitY)</t>
  </si>
  <si>
    <t xml:space="preserve">Supports the VEGA co-processor subsystem on tab 01.</t>
  </si>
  <si>
    <t xml:space="preserve">Fully indigenous. Engage C-DAC support early — the toolchain is younger than ARM equivalents.</t>
  </si>
  <si>
    <t xml:space="preserve">DATA — THE MOST IMPORTANT INDIGENISATION ITEM ON THIS SHEET</t>
  </si>
  <si>
    <t xml:space="preserve">Indian SAR field dataset</t>
  </si>
  <si>
    <t xml:space="preserve">&gt;=2,000 annotated frames: your camera, your altitudes, Indian terrain, Indian clothing, Indian light</t>
  </si>
  <si>
    <t xml:space="preserve">In-house field campaign (Development Plan P7)</t>
  </si>
  <si>
    <t xml:space="preserve">12+ wk</t>
  </si>
  <si>
    <t xml:space="preserve">Development Plan P7 is the long pole. This is the single highest-leverage indigenous asset you will build.</t>
  </si>
  <si>
    <t xml:space="preserve">HERIDAL and SARD are European. Their terrain, vegetation, clothing and sun angle do not match an Indian flood plain. Use them for pre-training and benchmarking, then fine-tune on your own data. Cost is logistics: transport, volunteers, mannequins, annotation labour.</t>
  </si>
  <si>
    <t xml:space="preserve">Public datasets</t>
  </si>
  <si>
    <t xml:space="preserve">HERIDAL, SARD, WiSARD</t>
  </si>
  <si>
    <t xml:space="preserve">European research groups (free, on request)</t>
  </si>
  <si>
    <t xml:space="preserve">2-4 wk</t>
  </si>
  <si>
    <t xml:space="preserve">Sizing §8: reproduce published metrics to validate your pipeline before trusting your own data.</t>
  </si>
  <si>
    <t xml:space="preserve">No Indian equivalent exists. Consider publishing yours — that alone is a strong NIDAR outcome.</t>
  </si>
  <si>
    <t xml:space="preserve">Annotation tooling</t>
  </si>
  <si>
    <t xml:space="preserve">CVAT, self-hosted</t>
  </si>
  <si>
    <t xml:space="preserve">Open source, hosted on Indian cloud</t>
  </si>
  <si>
    <t xml:space="preserve">Self-host to avoid per-seat cost on 2,000+ frames.</t>
  </si>
  <si>
    <t xml:space="preserve">Training compute</t>
  </si>
  <si>
    <t xml:space="preserve">GPU hours for detector training</t>
  </si>
  <si>
    <t xml:space="preserve">E2E Networks / Yotta / NxtGen (Indian GPU cloud)</t>
  </si>
  <si>
    <t xml:space="preserve">A genuinely indigenous option for training compute, unlike inference silicon.</t>
  </si>
  <si>
    <t xml:space="preserve">NIDAR provides cloud credits to winning teams. Indian GPU cloud is a real and growing capability.</t>
  </si>
  <si>
    <t xml:space="preserve">Offline map tiles</t>
  </si>
  <si>
    <t xml:space="preserve">Cached basemap for the venue and all test sites</t>
  </si>
  <si>
    <t xml:space="preserve">Survey of India / Bhuvan (ISRO) / OSM export</t>
  </si>
  <si>
    <t xml:space="preserve">RULE C12 FORBIDS INTERNET — online tiles will not load at the venue. Teams lose points to this every year.</t>
  </si>
  <si>
    <t xml:space="preserve">ISRO Bhuvan imagery is Indian, free, and appropriate for the C11 boundary display. Cache it in advance.</t>
  </si>
  <si>
    <t xml:space="preserve">REGULATORY AND ADMIN</t>
  </si>
  <si>
    <t xml:space="preserve">DGCA airspace and operations</t>
  </si>
  <si>
    <t xml:space="preserve">Zone check for every test site, operator and pilot requirements</t>
  </si>
  <si>
    <t xml:space="preserve">DGCA Digital Sky</t>
  </si>
  <si>
    <t xml:space="preserve">Development Plan P0 exit gate. Confirm the zone colour BEFORE booking a campaign.</t>
  </si>
  <si>
    <t xml:space="preserve">WPC / ETA</t>
  </si>
  <si>
    <t xml:space="preserve">Equipment Type Approval for every radio flown</t>
  </si>
  <si>
    <t xml:space="preserve">WPC, DoT / supplier declarations</t>
  </si>
  <si>
    <t xml:space="preserve">Sizing §12: 5.825-5.875 GHz is delicensed for drones and 865-867 MHz for SRDs, but the EQUIPMENT still needs ETA.</t>
  </si>
  <si>
    <t xml:space="preserve">ADVANTAGE OF INDIAN SUPPLIERS: FxUAV and Indian RF houses design to Indian spectrum rules and can supply ETA documentation. Imported radios routinely cannot.</t>
  </si>
  <si>
    <t xml:space="preserve">Insurance</t>
  </si>
  <si>
    <t xml:space="preserve">Third-party liability for flight operations</t>
  </si>
  <si>
    <t xml:space="preserve">Indian insurer (drone liability products exist)</t>
  </si>
  <si>
    <t xml:space="preserve">Many test sites and institutions require it.</t>
  </si>
  <si>
    <t xml:space="preserve">07 — MASS ROLLUP AND RULE C2 COMPLIANCE CHECK</t>
  </si>
  <si>
    <t xml:space="preserve">Rule C2: combined all-up weight of ALL deployed drones, including batteries, payloads and every accessory, must not exceed 25 kg.</t>
  </si>
  <si>
    <t xml:space="preserve">Group</t>
  </si>
  <si>
    <t xml:space="preserve">Sizing model (g)</t>
  </si>
  <si>
    <t xml:space="preserve">Indian BOM (g)</t>
  </si>
  <si>
    <t xml:space="preserve">Actual measured (g)</t>
  </si>
  <si>
    <t xml:space="preserve">Delta vs model</t>
  </si>
  <si>
    <t xml:space="preserve">Note</t>
  </si>
  <si>
    <t xml:space="preserve">Structure</t>
  </si>
  <si>
    <t xml:space="preserve">Indian CF tube and plate are marginally heavier per the quoted wall thicknesses</t>
  </si>
  <si>
    <t xml:space="preserve">Propulsion (motors, ESCs, props, hubs)</t>
  </si>
  <si>
    <t xml:space="preserve">Indian motors quoted at ~150 g vs 135 g for the imported reference</t>
  </si>
  <si>
    <t xml:space="preserve">Power (pack + distribution)</t>
  </si>
  <si>
    <t xml:space="preserve">Pack assembly mass from an Indian pack house, incl. holders and BMS</t>
  </si>
  <si>
    <t xml:space="preserve">Avionics</t>
  </si>
  <si>
    <t xml:space="preserve">Includes the VEGA co-processor board at ~60 g</t>
  </si>
  <si>
    <t xml:space="preserve">Compute &amp; perception</t>
  </si>
  <si>
    <t xml:space="preserve">Indian camera module and mount; imported SoM</t>
  </si>
  <si>
    <t xml:space="preserve">Communications</t>
  </si>
  <si>
    <t xml:space="preserve">FxUAV-class node plus Indian antennas</t>
  </si>
  <si>
    <t xml:space="preserve">Payload mechanism</t>
  </si>
  <si>
    <t xml:space="preserve">Magazine, servos, detents, switches, harness</t>
  </si>
  <si>
    <t xml:space="preserve">Survivor kits (4 x 200 g)</t>
  </si>
  <si>
    <t xml:space="preserve">Rule C6 fixes this at exactly 200 g per kit</t>
  </si>
  <si>
    <t xml:space="preserve">MTOW per aircraft (g)</t>
  </si>
  <si>
    <t xml:space="preserve">Bottom-up line-item total, tab 01 (g)</t>
  </si>
  <si>
    <t xml:space="preserve">Aircraft in fleet</t>
  </si>
  <si>
    <t xml:space="preserve">FLEET ALL-UP WEIGHT (g)</t>
  </si>
  <si>
    <t xml:space="preserve">Rule C2 limit (g)</t>
  </si>
  <si>
    <t xml:space="preserve">Margin to rule limit (g)</t>
  </si>
  <si>
    <t xml:space="preserve">Margin to rule limit (%)</t>
  </si>
  <si>
    <t xml:space="preserve">Delta vs the imported BOM (g/aircraft)</t>
  </si>
  <si>
    <t xml:space="preserve">PERFORMANCE IMPACT OF INDIGENISATION</t>
  </si>
  <si>
    <t xml:space="preserve">Mass rises ~265 g per aircraft (~4.7%), almost entirely from heavier Indian motors and the added VEGA co-processor board.</t>
  </si>
  <si>
    <t xml:space="preserve">Fleet goes from ~17.0 kg to ~17.8 kg — margin under the 25 kg rule falls from 32% to ~29%. Still ample.</t>
  </si>
  <si>
    <t xml:space="preserve">Hover power rises ~4% and endurance falls ~35 s. The design mission is 7.7 min against 30 min allowed, so this is immaterial.</t>
  </si>
  <si>
    <t xml:space="preserve">NavIC is a net PERFORMANCE GAIN, not a compromise: more satellites overhead in India, faster time-to-first-fix (which directly helps the 5-minute setup window in Sizing §15), and a constellation fallback if GPS is degraded.</t>
  </si>
  <si>
    <t xml:space="preserve">ACTION: re-run the sizing model with the quoted Indian motor mass and measured thrust curve as soon as the first RFQ comes back.</t>
  </si>
  <si>
    <t xml:space="preserve">08 — PROGRAMME COST SUMMARY, INDIAN SOURCING</t>
  </si>
  <si>
    <t xml:space="preserve">Indicative budgetary estimates in INR. Send RFQs in week 1 — Indian drone-component pricing is quotation-driven.</t>
  </si>
  <si>
    <t xml:space="preserve">Category</t>
  </si>
  <si>
    <t xml:space="preserve">Sets</t>
  </si>
  <si>
    <t xml:space="preserve">Unit Cost (INR)</t>
  </si>
  <si>
    <t xml:space="preserve">Extended (INR)</t>
  </si>
  <si>
    <t xml:space="preserve">Indian Value (INR)</t>
  </si>
  <si>
    <t xml:space="preserve">Air vehicle, per aircraft</t>
  </si>
  <si>
    <t xml:space="preserve">Flight hardware. See tab 01.</t>
  </si>
  <si>
    <t xml:space="preserve">Payload, kits and ground-truth targets</t>
  </si>
  <si>
    <t xml:space="preserve">Near-100% Indian.</t>
  </si>
  <si>
    <t xml:space="preserve">Ground segment and infrastructure</t>
  </si>
  <si>
    <t xml:space="preserve">Computing is the weak spot.</t>
  </si>
  <si>
    <t xml:space="preserve">Test, lab and calibration equipment</t>
  </si>
  <si>
    <t xml:space="preserve">DIY thrust stand saves ~INR 1 L vs imported.</t>
  </si>
  <si>
    <t xml:space="preserve">Spares and consumables</t>
  </si>
  <si>
    <t xml:space="preserve">Includes the optional 4th aircraft.</t>
  </si>
  <si>
    <t xml:space="preserve">Software, data and compliance</t>
  </si>
  <si>
    <t xml:space="preserve">Mostly the field data campaign.</t>
  </si>
  <si>
    <t xml:space="preserve">SUBTOTAL — hardware, equipment and data</t>
  </si>
  <si>
    <t xml:space="preserve">of which Indian value</t>
  </si>
  <si>
    <t xml:space="preserve">Customs duty + freight on the residual imports</t>
  </si>
  <si>
    <t xml:space="preserve">22% blended on the imported residual only — a far smaller base than the imported BOM, which is the main cost advantage of this build.</t>
  </si>
  <si>
    <t xml:space="preserve">GST</t>
  </si>
  <si>
    <t xml:space="preserve">18% assumed. Institutional purchases may be exempt.</t>
  </si>
  <si>
    <t xml:space="preserve">Contingency</t>
  </si>
  <si>
    <t xml:space="preserve">20%. Hardware programmes consume it.</t>
  </si>
  <si>
    <t xml:space="preserve">TOTAL PROGRAMME COST</t>
  </si>
  <si>
    <t xml:space="preserve">NOTES</t>
  </si>
  <si>
    <t xml:space="preserve">Indian sourcing cuts the dutiable import base sharply — duty and freight fall from ~INR 5.9 L to a fraction of that.</t>
  </si>
  <si>
    <t xml:space="preserve">Lead times improve more than price does: 4-6 week imports become 2-3 week domestic orders. In a 30-week programme that is worth more than the money.</t>
  </si>
  <si>
    <t xml:space="preserve">The DIY thrust stand (Indian load cells + Indian DAQ) is both cheaper and a legitimate engineering deliverable for the technical report.</t>
  </si>
  <si>
    <t xml:space="preserve">DO NOT CUT: safety equipment, the calibrated weigh-in scale, the calibration targets, or the Indian field data campaign.</t>
  </si>
  <si>
    <t xml:space="preserve">Send RFQs to Bharath Components, Mechtex, Flameback Tech, S R Aerospace, Agam Robotics, Zuppa, Teravolt Labs, Accord Software, e-con Systems, FxUAV and an Indian pack house in Phase 0 week 1. Several do not publish prices, and lead-time discovery matters more than price discovery.</t>
  </si>
  <si>
    <t xml:space="preserve">09 — INDIGENISATION SCORECARD</t>
  </si>
  <si>
    <t xml:space="preserve">Indian value = Ext. Price x Indigenous %. Use these figures directly in the technical report — an honest, quantified indigenisation claim is far stronger than "Made in India" on a slide.</t>
  </si>
  <si>
    <t xml:space="preserve">Total value (INR)</t>
  </si>
  <si>
    <t xml:space="preserve">Indian value (INR)</t>
  </si>
  <si>
    <t xml:space="preserve">Indian %</t>
  </si>
  <si>
    <t xml:space="preserve">Comment</t>
  </si>
  <si>
    <t xml:space="preserve">Air vehicle (x3)</t>
  </si>
  <si>
    <t xml:space="preserve">Dragged down almost entirely by the AI compute module and the connectors.</t>
  </si>
  <si>
    <t xml:space="preserve">Payload and kits</t>
  </si>
  <si>
    <t xml:space="preserve">Essentially fully Indian — local fabrication and consumables.</t>
  </si>
  <si>
    <t xml:space="preserve">Ground segment</t>
  </si>
  <si>
    <t xml:space="preserve">Laptops are the weak point; power, solar, masts and safety are strongly Indian.</t>
  </si>
  <si>
    <t xml:space="preserve">Test and lab equipment</t>
  </si>
  <si>
    <t xml:space="preserve">Indian balances, instruments, tools and 3D printers are genuinely good.</t>
  </si>
  <si>
    <t xml:space="preserve">Mirrors the air vehicle.</t>
  </si>
  <si>
    <t xml:space="preserve">The Indian field dataset is the standout indigenous asset.</t>
  </si>
  <si>
    <t xml:space="preserve">PROGRAMME TOTAL</t>
  </si>
  <si>
    <t xml:space="preserve">SUPPLIER-BASIS SCORE (count of line items by tier)</t>
  </si>
  <si>
    <t xml:space="preserve">Line items</t>
  </si>
  <si>
    <t xml:space="preserve">Share of lines</t>
  </si>
  <si>
    <t xml:space="preserve">Definition</t>
  </si>
  <si>
    <t xml:space="preserve">Indian design and manufacture</t>
  </si>
  <si>
    <t xml:space="preserve">Indian design and assembly, imported silicon or fibre</t>
  </si>
  <si>
    <t xml:space="preserve">Indian assembly and value-add from imported subassemblies</t>
  </si>
  <si>
    <t xml:space="preserve">No Indian option — import with declared mitigation</t>
  </si>
  <si>
    <t xml:space="preserve">THE FOUR IRREDUCIBLE IMPORTS — state these plainly in the technical report</t>
  </si>
  <si>
    <t xml:space="preserve">1. AI INFERENCE SILICON. No Indian GPU or NPU exists at the ~20 TOPS class needed for tiled detection at 2 Hz. Mitigation: Indian-designed carrier and thermal design, Indian camera, Indian dataset, Indian-trained model. Only the die is foreign.</t>
  </si>
  <si>
    <t xml:space="preserve">2. HIGH-DRAIN 21700 CELLS. GODI India makes BIS-certified 21700 NMC, but a 40-45 A continuous drone-grade variant must be confirmed. Indian PACK assembly is mature and competitive — use it either way.</t>
  </si>
  <si>
    <t xml:space="preserve">3. RF CHIPSETS. 802.11 and LoRa transceivers have no Indian source. FxUAV and other Indian RF houses build indigenous datalinks around them; module design, firmware, spectrum compliance and ETA documentation are Indian.</t>
  </si>
  <si>
    <t xml:space="preserve">4. HIGH-CURRENT CONNECTORS AND SOME PASSIVES. Small value, genuinely unavailable domestically. Buy through Indian distributors.</t>
  </si>
  <si>
    <t xml:space="preserve">EVERYTHING ELSE HAS A REAL INDIAN SUPPLIER: motors, ESCs, propellers, PDBs, BMS, wire, structure, fasteners, flight controller, GNSS (with NavIC), camera modules, antennas, packs, mechanical hardware, instruments, tools, printers, safety equipment and the entire software stack.</t>
  </si>
  <si>
    <t xml:space="preserve">HOW TO PRESENT THIS TO EVALUATORS</t>
  </si>
  <si>
    <t xml:space="preserve">Lead with the number, not the slogan. "84% of system value is Indian, and here are the four things that are not, and why" beats "Made in India" every time.</t>
  </si>
  <si>
    <t xml:space="preserve">Show the VEGA co-processor running a real subsystem. It is the single most visible indigenisation signal available to a Track 1 team.</t>
  </si>
  <si>
    <t xml:space="preserve">Show NavIC being used, with a plot of satellites tracked over India versus a GPS-only receiver. It is an indigenisation choice that improves performance — the strongest kind.</t>
  </si>
  <si>
    <t xml:space="preserve">Offer to publish the Indian SAR dataset. HERIDAL and SARD are European; there is no Indian equivalent, and creating one is a national-capability contribution that outlives the competition.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</si>
</sst>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.0"/>
    <numFmt numFmtId="167" formatCode="#,##0"/>
    <numFmt numFmtId="168" formatCode="0.0%"/>
    <numFmt numFmtId="169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5132"/>
        <bgColor rgb="FF003366"/>
      </patternFill>
    </fill>
    <fill>
      <patternFill patternType="solid">
        <fgColor rgb="FFD1E7DD"/>
        <bgColor rgb="FFE2EFDA"/>
      </patternFill>
    </fill>
    <fill>
      <patternFill patternType="solid">
        <fgColor rgb="FFE2EFDA"/>
        <bgColor rgb="FFD1E7DD"/>
      </patternFill>
    </fill>
    <fill>
      <patternFill patternType="solid">
        <fgColor rgb="FFFFE8CC"/>
        <bgColor rgb="FFFFD6D6"/>
      </patternFill>
    </fill>
    <fill>
      <patternFill patternType="solid">
        <fgColor rgb="FFFFD6D6"/>
        <bgColor rgb="FFFFE8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8CC"/>
      <rgbColor rgb="FFD1E7D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F51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9.5" hidden="false" customHeight="true" outlineLevel="0" collapsed="false">
      <c r="B5" s="3" t="s">
        <v>2</v>
      </c>
      <c r="C5" s="4" t="s">
        <v>3</v>
      </c>
    </row>
    <row r="6" customFormat="false" ht="37.5" hidden="false" customHeight="true" outlineLevel="0" collapsed="false">
      <c r="B6" s="3" t="s">
        <v>4</v>
      </c>
      <c r="C6" s="4" t="s">
        <v>5</v>
      </c>
    </row>
    <row r="7" customFormat="false" ht="75" hidden="false" customHeight="true" outlineLevel="0" collapsed="false">
      <c r="B7" s="3" t="s">
        <v>6</v>
      </c>
      <c r="C7" s="4" t="s">
        <v>7</v>
      </c>
    </row>
    <row r="8" customFormat="false" ht="49.5" hidden="false" customHeight="true" outlineLevel="0" collapsed="false">
      <c r="B8" s="3" t="s">
        <v>8</v>
      </c>
      <c r="C8" s="4" t="s">
        <v>9</v>
      </c>
    </row>
    <row r="9" customFormat="false" ht="75" hidden="false" customHeight="true" outlineLevel="0" collapsed="false">
      <c r="B9" s="3" t="s">
        <v>10</v>
      </c>
      <c r="C9" s="4" t="s">
        <v>11</v>
      </c>
    </row>
    <row r="10" customFormat="false" ht="49.5" hidden="false" customHeight="true" outlineLevel="0" collapsed="false">
      <c r="B10" s="3" t="s">
        <v>12</v>
      </c>
      <c r="C10" s="4" t="s">
        <v>13</v>
      </c>
    </row>
    <row r="11" customFormat="false" ht="62.25" hidden="false" customHeight="true" outlineLevel="0" collapsed="false">
      <c r="B11" s="3" t="s">
        <v>14</v>
      </c>
      <c r="C11" s="4" t="s">
        <v>15</v>
      </c>
    </row>
    <row r="12" customFormat="false" ht="37.5" hidden="false" customHeight="true" outlineLevel="0" collapsed="false">
      <c r="B12" s="3" t="s">
        <v>16</v>
      </c>
      <c r="C12" s="4" t="s">
        <v>17</v>
      </c>
    </row>
    <row r="13" customFormat="false" ht="37.5" hidden="false" customHeight="true" outlineLevel="0" collapsed="false">
      <c r="B13" s="3" t="s">
        <v>18</v>
      </c>
      <c r="C1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54"/>
    <col collapsed="false" customWidth="true" hidden="false" outlineLevel="0" max="15" min="15" style="0" width="44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3" customFormat="false" ht="31.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</row>
    <row r="4" customFormat="false" ht="15" hidden="false" customHeight="false" outlineLevel="0" collapsed="false">
      <c r="A4" s="6" t="s">
        <v>37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35.05" hidden="false" customHeight="false" outlineLevel="0" collapsed="false">
      <c r="A5" s="8" t="n">
        <v>1</v>
      </c>
      <c r="B5" s="9" t="s">
        <v>38</v>
      </c>
      <c r="C5" s="9" t="s">
        <v>39</v>
      </c>
      <c r="D5" s="9" t="s">
        <v>40</v>
      </c>
      <c r="E5" s="10" t="s">
        <v>41</v>
      </c>
      <c r="F5" s="11" t="n">
        <v>0.7</v>
      </c>
      <c r="G5" s="8" t="n">
        <v>4</v>
      </c>
      <c r="H5" s="12" t="n">
        <v>95</v>
      </c>
      <c r="I5" s="12" t="n">
        <f aca="false">G5*H5</f>
        <v>380</v>
      </c>
      <c r="J5" s="13" t="n">
        <v>1100</v>
      </c>
      <c r="K5" s="13" t="n">
        <f aca="false">G5*J5</f>
        <v>4400</v>
      </c>
      <c r="L5" s="13" t="n">
        <f aca="false">K5*F5</f>
        <v>3080</v>
      </c>
      <c r="M5" s="8" t="s">
        <v>42</v>
      </c>
      <c r="N5" s="9" t="s">
        <v>43</v>
      </c>
      <c r="O5" s="9" t="s">
        <v>44</v>
      </c>
    </row>
    <row r="6" customFormat="false" ht="23.85" hidden="false" customHeight="false" outlineLevel="0" collapsed="false">
      <c r="A6" s="8" t="n">
        <v>2</v>
      </c>
      <c r="B6" s="9" t="s">
        <v>45</v>
      </c>
      <c r="C6" s="9" t="s">
        <v>46</v>
      </c>
      <c r="D6" s="9" t="s">
        <v>47</v>
      </c>
      <c r="E6" s="10" t="s">
        <v>41</v>
      </c>
      <c r="F6" s="11" t="n">
        <v>0.7</v>
      </c>
      <c r="G6" s="8" t="n">
        <v>2</v>
      </c>
      <c r="H6" s="12" t="n">
        <v>155</v>
      </c>
      <c r="I6" s="12" t="n">
        <f aca="false">G6*H6</f>
        <v>310</v>
      </c>
      <c r="J6" s="13" t="n">
        <v>3000</v>
      </c>
      <c r="K6" s="13" t="n">
        <f aca="false">G6*J6</f>
        <v>6000</v>
      </c>
      <c r="L6" s="13" t="n">
        <f aca="false">K6*F6</f>
        <v>4200</v>
      </c>
      <c r="M6" s="8" t="s">
        <v>48</v>
      </c>
      <c r="N6" s="9" t="s">
        <v>49</v>
      </c>
      <c r="O6" s="9" t="s">
        <v>50</v>
      </c>
    </row>
    <row r="7" customFormat="false" ht="35.05" hidden="false" customHeight="false" outlineLevel="0" collapsed="false">
      <c r="A7" s="8" t="n">
        <v>3</v>
      </c>
      <c r="B7" s="9" t="s">
        <v>51</v>
      </c>
      <c r="C7" s="9" t="s">
        <v>52</v>
      </c>
      <c r="D7" s="9" t="s">
        <v>53</v>
      </c>
      <c r="E7" s="10" t="s">
        <v>54</v>
      </c>
      <c r="F7" s="11" t="n">
        <v>1</v>
      </c>
      <c r="G7" s="8" t="n">
        <v>4</v>
      </c>
      <c r="H7" s="12" t="n">
        <v>45</v>
      </c>
      <c r="I7" s="12" t="n">
        <f aca="false">G7*H7</f>
        <v>180</v>
      </c>
      <c r="J7" s="13" t="n">
        <v>750</v>
      </c>
      <c r="K7" s="13" t="n">
        <f aca="false">G7*J7</f>
        <v>3000</v>
      </c>
      <c r="L7" s="13" t="n">
        <f aca="false">K7*F7</f>
        <v>3000</v>
      </c>
      <c r="M7" s="8" t="s">
        <v>48</v>
      </c>
      <c r="N7" s="9" t="s">
        <v>55</v>
      </c>
      <c r="O7" s="9" t="s">
        <v>56</v>
      </c>
    </row>
    <row r="8" customFormat="false" ht="23.85" hidden="false" customHeight="false" outlineLevel="0" collapsed="false">
      <c r="A8" s="8" t="n">
        <v>4</v>
      </c>
      <c r="B8" s="9" t="s">
        <v>57</v>
      </c>
      <c r="C8" s="9" t="s">
        <v>58</v>
      </c>
      <c r="D8" s="9" t="s">
        <v>59</v>
      </c>
      <c r="E8" s="10" t="s">
        <v>41</v>
      </c>
      <c r="F8" s="11" t="n">
        <v>0.7</v>
      </c>
      <c r="G8" s="8" t="n">
        <v>4</v>
      </c>
      <c r="H8" s="12" t="n">
        <v>22</v>
      </c>
      <c r="I8" s="12" t="n">
        <f aca="false">G8*H8</f>
        <v>88</v>
      </c>
      <c r="J8" s="13" t="n">
        <v>400</v>
      </c>
      <c r="K8" s="13" t="n">
        <f aca="false">G8*J8</f>
        <v>1600</v>
      </c>
      <c r="L8" s="13" t="n">
        <f aca="false">K8*F8</f>
        <v>1120</v>
      </c>
      <c r="M8" s="8" t="s">
        <v>48</v>
      </c>
      <c r="N8" s="9" t="s">
        <v>60</v>
      </c>
      <c r="O8" s="9" t="s">
        <v>61</v>
      </c>
    </row>
    <row r="9" customFormat="false" ht="23.85" hidden="false" customHeight="false" outlineLevel="0" collapsed="false">
      <c r="A9" s="8" t="n">
        <v>5</v>
      </c>
      <c r="B9" s="9" t="s">
        <v>62</v>
      </c>
      <c r="C9" s="9" t="s">
        <v>63</v>
      </c>
      <c r="D9" s="9" t="s">
        <v>64</v>
      </c>
      <c r="E9" s="10" t="s">
        <v>41</v>
      </c>
      <c r="F9" s="11" t="n">
        <v>0.7</v>
      </c>
      <c r="G9" s="8" t="n">
        <v>4</v>
      </c>
      <c r="H9" s="12" t="n">
        <v>55</v>
      </c>
      <c r="I9" s="12" t="n">
        <f aca="false">G9*H9</f>
        <v>220</v>
      </c>
      <c r="J9" s="13" t="n">
        <v>600</v>
      </c>
      <c r="K9" s="13" t="n">
        <f aca="false">G9*J9</f>
        <v>2400</v>
      </c>
      <c r="L9" s="13" t="n">
        <f aca="false">K9*F9</f>
        <v>1680</v>
      </c>
      <c r="M9" s="8" t="s">
        <v>42</v>
      </c>
      <c r="N9" s="9" t="s">
        <v>65</v>
      </c>
      <c r="O9" s="9" t="s">
        <v>61</v>
      </c>
    </row>
    <row r="10" customFormat="false" ht="23.85" hidden="false" customHeight="false" outlineLevel="0" collapsed="false">
      <c r="A10" s="8" t="n">
        <v>6</v>
      </c>
      <c r="B10" s="9" t="s">
        <v>66</v>
      </c>
      <c r="C10" s="9" t="s">
        <v>67</v>
      </c>
      <c r="D10" s="9" t="s">
        <v>68</v>
      </c>
      <c r="E10" s="10" t="s">
        <v>54</v>
      </c>
      <c r="F10" s="11" t="n">
        <v>1</v>
      </c>
      <c r="G10" s="8" t="n">
        <v>4</v>
      </c>
      <c r="H10" s="12" t="n">
        <v>12</v>
      </c>
      <c r="I10" s="12" t="n">
        <f aca="false">G10*H10</f>
        <v>48</v>
      </c>
      <c r="J10" s="13" t="n">
        <v>100</v>
      </c>
      <c r="K10" s="13" t="n">
        <f aca="false">G10*J10</f>
        <v>400</v>
      </c>
      <c r="L10" s="13" t="n">
        <f aca="false">K10*F10</f>
        <v>400</v>
      </c>
      <c r="M10" s="8" t="s">
        <v>61</v>
      </c>
      <c r="N10" s="9" t="s">
        <v>69</v>
      </c>
      <c r="O10" s="9" t="s">
        <v>70</v>
      </c>
    </row>
    <row r="11" customFormat="false" ht="15" hidden="false" customHeight="false" outlineLevel="0" collapsed="false">
      <c r="A11" s="8" t="n">
        <v>7</v>
      </c>
      <c r="B11" s="9" t="s">
        <v>71</v>
      </c>
      <c r="C11" s="9" t="s">
        <v>72</v>
      </c>
      <c r="D11" s="9" t="s">
        <v>73</v>
      </c>
      <c r="E11" s="10" t="s">
        <v>54</v>
      </c>
      <c r="F11" s="11" t="n">
        <v>1</v>
      </c>
      <c r="G11" s="8" t="n">
        <v>1</v>
      </c>
      <c r="H11" s="12" t="n">
        <v>85</v>
      </c>
      <c r="I11" s="12" t="n">
        <f aca="false">G11*H11</f>
        <v>85</v>
      </c>
      <c r="J11" s="13" t="n">
        <v>600</v>
      </c>
      <c r="K11" s="13" t="n">
        <f aca="false">G11*J11</f>
        <v>600</v>
      </c>
      <c r="L11" s="13" t="n">
        <f aca="false">K11*F11</f>
        <v>600</v>
      </c>
      <c r="M11" s="8" t="s">
        <v>74</v>
      </c>
      <c r="N11" s="9" t="s">
        <v>75</v>
      </c>
      <c r="O11" s="9" t="s">
        <v>61</v>
      </c>
    </row>
    <row r="12" customFormat="false" ht="23.85" hidden="false" customHeight="false" outlineLevel="0" collapsed="false">
      <c r="A12" s="8" t="n">
        <v>8</v>
      </c>
      <c r="B12" s="9" t="s">
        <v>76</v>
      </c>
      <c r="C12" s="9" t="s">
        <v>77</v>
      </c>
      <c r="D12" s="9" t="s">
        <v>78</v>
      </c>
      <c r="E12" s="10" t="s">
        <v>54</v>
      </c>
      <c r="F12" s="11" t="n">
        <v>1</v>
      </c>
      <c r="G12" s="8" t="n">
        <v>1</v>
      </c>
      <c r="H12" s="12" t="n">
        <v>18</v>
      </c>
      <c r="I12" s="12" t="n">
        <f aca="false">G12*H12</f>
        <v>18</v>
      </c>
      <c r="J12" s="13" t="n">
        <v>350</v>
      </c>
      <c r="K12" s="13" t="n">
        <f aca="false">G12*J12</f>
        <v>350</v>
      </c>
      <c r="L12" s="13" t="n">
        <f aca="false">K12*F12</f>
        <v>350</v>
      </c>
      <c r="M12" s="8" t="s">
        <v>74</v>
      </c>
      <c r="N12" s="9" t="s">
        <v>79</v>
      </c>
      <c r="O12" s="9" t="s">
        <v>61</v>
      </c>
    </row>
    <row r="13" customFormat="false" ht="23.85" hidden="false" customHeight="false" outlineLevel="0" collapsed="false">
      <c r="A13" s="8" t="n">
        <v>9</v>
      </c>
      <c r="B13" s="9" t="s">
        <v>80</v>
      </c>
      <c r="C13" s="9" t="s">
        <v>81</v>
      </c>
      <c r="D13" s="9" t="s">
        <v>82</v>
      </c>
      <c r="E13" s="10" t="s">
        <v>54</v>
      </c>
      <c r="F13" s="11" t="n">
        <v>1</v>
      </c>
      <c r="G13" s="8" t="n">
        <v>1</v>
      </c>
      <c r="H13" s="12" t="n">
        <v>140</v>
      </c>
      <c r="I13" s="12" t="n">
        <f aca="false">G13*H13</f>
        <v>140</v>
      </c>
      <c r="J13" s="13" t="n">
        <v>500</v>
      </c>
      <c r="K13" s="13" t="n">
        <f aca="false">G13*J13</f>
        <v>500</v>
      </c>
      <c r="L13" s="13" t="n">
        <f aca="false">K13*F13</f>
        <v>500</v>
      </c>
      <c r="M13" s="8" t="s">
        <v>74</v>
      </c>
      <c r="N13" s="9" t="s">
        <v>83</v>
      </c>
      <c r="O13" s="9" t="s">
        <v>61</v>
      </c>
    </row>
    <row r="14" customFormat="false" ht="23.85" hidden="false" customHeight="false" outlineLevel="0" collapsed="false">
      <c r="A14" s="8" t="n">
        <v>10</v>
      </c>
      <c r="B14" s="9" t="s">
        <v>84</v>
      </c>
      <c r="C14" s="9" t="s">
        <v>85</v>
      </c>
      <c r="D14" s="9" t="s">
        <v>86</v>
      </c>
      <c r="E14" s="10" t="s">
        <v>41</v>
      </c>
      <c r="F14" s="11" t="n">
        <v>0.6</v>
      </c>
      <c r="G14" s="8" t="n">
        <v>1</v>
      </c>
      <c r="H14" s="12" t="n">
        <v>32</v>
      </c>
      <c r="I14" s="12" t="n">
        <f aca="false">G14*H14</f>
        <v>32</v>
      </c>
      <c r="J14" s="13" t="n">
        <v>400</v>
      </c>
      <c r="K14" s="13" t="n">
        <f aca="false">G14*J14</f>
        <v>400</v>
      </c>
      <c r="L14" s="13" t="n">
        <f aca="false">K14*F14</f>
        <v>240</v>
      </c>
      <c r="M14" s="8" t="s">
        <v>74</v>
      </c>
      <c r="N14" s="9" t="s">
        <v>87</v>
      </c>
      <c r="O14" s="9" t="s">
        <v>88</v>
      </c>
    </row>
    <row r="15" customFormat="false" ht="23.85" hidden="false" customHeight="false" outlineLevel="0" collapsed="false">
      <c r="A15" s="8" t="n">
        <v>11</v>
      </c>
      <c r="B15" s="9" t="s">
        <v>89</v>
      </c>
      <c r="C15" s="9" t="s">
        <v>90</v>
      </c>
      <c r="D15" s="9" t="s">
        <v>91</v>
      </c>
      <c r="E15" s="10" t="s">
        <v>54</v>
      </c>
      <c r="F15" s="11" t="n">
        <v>1</v>
      </c>
      <c r="G15" s="8" t="n">
        <v>1</v>
      </c>
      <c r="H15" s="12" t="n">
        <v>110</v>
      </c>
      <c r="I15" s="12" t="n">
        <f aca="false">G15*H15</f>
        <v>110</v>
      </c>
      <c r="J15" s="13" t="n">
        <v>800</v>
      </c>
      <c r="K15" s="13" t="n">
        <f aca="false">G15*J15</f>
        <v>800</v>
      </c>
      <c r="L15" s="13" t="n">
        <f aca="false">K15*F15</f>
        <v>800</v>
      </c>
      <c r="M15" s="8" t="s">
        <v>74</v>
      </c>
      <c r="N15" s="9" t="s">
        <v>61</v>
      </c>
      <c r="O15" s="9" t="s">
        <v>92</v>
      </c>
    </row>
    <row r="16" customFormat="false" ht="23.85" hidden="false" customHeight="false" outlineLevel="0" collapsed="false">
      <c r="A16" s="8" t="n">
        <v>12</v>
      </c>
      <c r="B16" s="9" t="s">
        <v>93</v>
      </c>
      <c r="C16" s="9" t="s">
        <v>94</v>
      </c>
      <c r="D16" s="9" t="s">
        <v>95</v>
      </c>
      <c r="E16" s="10" t="s">
        <v>54</v>
      </c>
      <c r="F16" s="11" t="n">
        <v>1</v>
      </c>
      <c r="G16" s="8" t="n">
        <v>1</v>
      </c>
      <c r="H16" s="12" t="n">
        <v>95</v>
      </c>
      <c r="I16" s="12" t="n">
        <f aca="false">G16*H16</f>
        <v>95</v>
      </c>
      <c r="J16" s="13" t="n">
        <v>600</v>
      </c>
      <c r="K16" s="13" t="n">
        <f aca="false">G16*J16</f>
        <v>600</v>
      </c>
      <c r="L16" s="13" t="n">
        <f aca="false">K16*F16</f>
        <v>600</v>
      </c>
      <c r="M16" s="8" t="s">
        <v>74</v>
      </c>
      <c r="N16" s="9" t="s">
        <v>96</v>
      </c>
      <c r="O16" s="9" t="s">
        <v>61</v>
      </c>
    </row>
    <row r="17" customFormat="false" ht="15" hidden="false" customHeight="false" outlineLevel="0" collapsed="false">
      <c r="A17" s="6" t="s">
        <v>97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customFormat="false" ht="46.25" hidden="false" customHeight="false" outlineLevel="0" collapsed="false">
      <c r="A18" s="8" t="n">
        <v>13</v>
      </c>
      <c r="B18" s="9" t="s">
        <v>98</v>
      </c>
      <c r="C18" s="9" t="s">
        <v>99</v>
      </c>
      <c r="D18" s="9" t="s">
        <v>100</v>
      </c>
      <c r="E18" s="10" t="s">
        <v>54</v>
      </c>
      <c r="F18" s="11" t="n">
        <v>0.9</v>
      </c>
      <c r="G18" s="8" t="n">
        <v>4</v>
      </c>
      <c r="H18" s="12" t="n">
        <v>150</v>
      </c>
      <c r="I18" s="12" t="n">
        <f aca="false">G18*H18</f>
        <v>600</v>
      </c>
      <c r="J18" s="13" t="n">
        <v>7000</v>
      </c>
      <c r="K18" s="13" t="n">
        <f aca="false">G18*J18</f>
        <v>28000</v>
      </c>
      <c r="L18" s="13" t="n">
        <f aca="false">K18*F18</f>
        <v>25200</v>
      </c>
      <c r="M18" s="8" t="s">
        <v>101</v>
      </c>
      <c r="N18" s="9" t="s">
        <v>102</v>
      </c>
      <c r="O18" s="9" t="s">
        <v>103</v>
      </c>
    </row>
    <row r="19" customFormat="false" ht="23.85" hidden="false" customHeight="false" outlineLevel="0" collapsed="false">
      <c r="A19" s="8" t="n">
        <v>14</v>
      </c>
      <c r="B19" s="9" t="s">
        <v>104</v>
      </c>
      <c r="C19" s="9" t="s">
        <v>105</v>
      </c>
      <c r="D19" s="9" t="s">
        <v>106</v>
      </c>
      <c r="E19" s="10" t="s">
        <v>54</v>
      </c>
      <c r="F19" s="11" t="n">
        <v>0.8</v>
      </c>
      <c r="G19" s="8" t="n">
        <v>4</v>
      </c>
      <c r="H19" s="12" t="n">
        <v>48</v>
      </c>
      <c r="I19" s="12" t="n">
        <f aca="false">G19*H19</f>
        <v>192</v>
      </c>
      <c r="J19" s="13" t="n">
        <v>3000</v>
      </c>
      <c r="K19" s="13" t="n">
        <f aca="false">G19*J19</f>
        <v>12000</v>
      </c>
      <c r="L19" s="13" t="n">
        <f aca="false">K19*F19</f>
        <v>9600</v>
      </c>
      <c r="M19" s="8" t="s">
        <v>107</v>
      </c>
      <c r="N19" s="9" t="s">
        <v>108</v>
      </c>
      <c r="O19" s="9" t="s">
        <v>109</v>
      </c>
    </row>
    <row r="20" customFormat="false" ht="35.05" hidden="false" customHeight="false" outlineLevel="0" collapsed="false">
      <c r="A20" s="8" t="n">
        <v>15</v>
      </c>
      <c r="B20" s="9" t="s">
        <v>110</v>
      </c>
      <c r="C20" s="9" t="s">
        <v>111</v>
      </c>
      <c r="D20" s="9" t="s">
        <v>112</v>
      </c>
      <c r="E20" s="10" t="s">
        <v>41</v>
      </c>
      <c r="F20" s="11" t="n">
        <v>0.7</v>
      </c>
      <c r="G20" s="8" t="n">
        <v>2</v>
      </c>
      <c r="H20" s="12" t="n">
        <v>116</v>
      </c>
      <c r="I20" s="12" t="n">
        <f aca="false">G20*H20</f>
        <v>232</v>
      </c>
      <c r="J20" s="13" t="n">
        <v>2200</v>
      </c>
      <c r="K20" s="13" t="n">
        <f aca="false">G20*J20</f>
        <v>4400</v>
      </c>
      <c r="L20" s="13" t="n">
        <f aca="false">K20*F20</f>
        <v>3080</v>
      </c>
      <c r="M20" s="8" t="s">
        <v>48</v>
      </c>
      <c r="N20" s="9" t="s">
        <v>113</v>
      </c>
      <c r="O20" s="9" t="s">
        <v>114</v>
      </c>
    </row>
    <row r="21" customFormat="false" ht="23.85" hidden="false" customHeight="false" outlineLevel="0" collapsed="false">
      <c r="A21" s="8" t="n">
        <v>16</v>
      </c>
      <c r="B21" s="9" t="s">
        <v>115</v>
      </c>
      <c r="C21" s="9" t="s">
        <v>116</v>
      </c>
      <c r="D21" s="9" t="s">
        <v>117</v>
      </c>
      <c r="E21" s="10" t="s">
        <v>54</v>
      </c>
      <c r="F21" s="11" t="n">
        <v>1</v>
      </c>
      <c r="G21" s="8" t="n">
        <v>4</v>
      </c>
      <c r="H21" s="12" t="n">
        <v>14</v>
      </c>
      <c r="I21" s="12" t="n">
        <f aca="false">G21*H21</f>
        <v>56</v>
      </c>
      <c r="J21" s="13" t="n">
        <v>500</v>
      </c>
      <c r="K21" s="13" t="n">
        <f aca="false">G21*J21</f>
        <v>2000</v>
      </c>
      <c r="L21" s="13" t="n">
        <f aca="false">K21*F21</f>
        <v>2000</v>
      </c>
      <c r="M21" s="8" t="s">
        <v>48</v>
      </c>
      <c r="N21" s="9" t="s">
        <v>118</v>
      </c>
      <c r="O21" s="9" t="s">
        <v>61</v>
      </c>
    </row>
    <row r="22" customFormat="false" ht="15" hidden="false" customHeight="false" outlineLevel="0" collapsed="false">
      <c r="A22" s="6" t="s">
        <v>119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customFormat="false" ht="68.65" hidden="false" customHeight="false" outlineLevel="0" collapsed="false">
      <c r="A23" s="8" t="n">
        <v>17</v>
      </c>
      <c r="B23" s="9" t="s">
        <v>120</v>
      </c>
      <c r="C23" s="9" t="s">
        <v>121</v>
      </c>
      <c r="D23" s="9" t="s">
        <v>122</v>
      </c>
      <c r="E23" s="14" t="s">
        <v>123</v>
      </c>
      <c r="F23" s="11" t="n">
        <v>0.4</v>
      </c>
      <c r="G23" s="8" t="n">
        <v>18</v>
      </c>
      <c r="H23" s="12" t="n">
        <v>70</v>
      </c>
      <c r="I23" s="12" t="n">
        <f aca="false">G23*H23</f>
        <v>1260</v>
      </c>
      <c r="J23" s="13" t="n">
        <v>700</v>
      </c>
      <c r="K23" s="13" t="n">
        <f aca="false">G23*J23</f>
        <v>12600</v>
      </c>
      <c r="L23" s="13" t="n">
        <f aca="false">K23*F23</f>
        <v>5040</v>
      </c>
      <c r="M23" s="8" t="s">
        <v>124</v>
      </c>
      <c r="N23" s="9" t="s">
        <v>125</v>
      </c>
      <c r="O23" s="9" t="s">
        <v>126</v>
      </c>
    </row>
    <row r="24" customFormat="false" ht="35.05" hidden="false" customHeight="false" outlineLevel="0" collapsed="false">
      <c r="A24" s="8" t="n">
        <v>18</v>
      </c>
      <c r="B24" s="9" t="s">
        <v>127</v>
      </c>
      <c r="C24" s="9" t="s">
        <v>128</v>
      </c>
      <c r="D24" s="9" t="s">
        <v>129</v>
      </c>
      <c r="E24" s="10" t="s">
        <v>54</v>
      </c>
      <c r="F24" s="11" t="n">
        <v>0.9</v>
      </c>
      <c r="G24" s="8" t="n">
        <v>1</v>
      </c>
      <c r="H24" s="12" t="n">
        <v>260</v>
      </c>
      <c r="I24" s="12" t="n">
        <f aca="false">G24*H24</f>
        <v>260</v>
      </c>
      <c r="J24" s="13" t="n">
        <v>3500</v>
      </c>
      <c r="K24" s="13" t="n">
        <f aca="false">G24*J24</f>
        <v>3500</v>
      </c>
      <c r="L24" s="13" t="n">
        <f aca="false">K24*F24</f>
        <v>3150</v>
      </c>
      <c r="M24" s="8" t="s">
        <v>107</v>
      </c>
      <c r="N24" s="9" t="s">
        <v>130</v>
      </c>
      <c r="O24" s="9" t="s">
        <v>131</v>
      </c>
    </row>
    <row r="25" customFormat="false" ht="23.85" hidden="false" customHeight="false" outlineLevel="0" collapsed="false">
      <c r="A25" s="8" t="n">
        <v>19</v>
      </c>
      <c r="B25" s="9" t="s">
        <v>132</v>
      </c>
      <c r="C25" s="9" t="s">
        <v>133</v>
      </c>
      <c r="D25" s="9" t="s">
        <v>134</v>
      </c>
      <c r="E25" s="10" t="s">
        <v>54</v>
      </c>
      <c r="F25" s="11" t="n">
        <v>0.8</v>
      </c>
      <c r="G25" s="8" t="n">
        <v>1</v>
      </c>
      <c r="H25" s="12" t="n">
        <v>45</v>
      </c>
      <c r="I25" s="12" t="n">
        <f aca="false">G25*H25</f>
        <v>45</v>
      </c>
      <c r="J25" s="13" t="n">
        <v>1600</v>
      </c>
      <c r="K25" s="13" t="n">
        <f aca="false">G25*J25</f>
        <v>1600</v>
      </c>
      <c r="L25" s="13" t="n">
        <f aca="false">K25*F25</f>
        <v>1280</v>
      </c>
      <c r="M25" s="8" t="s">
        <v>42</v>
      </c>
      <c r="N25" s="9" t="s">
        <v>135</v>
      </c>
      <c r="O25" s="9" t="s">
        <v>136</v>
      </c>
    </row>
    <row r="26" customFormat="false" ht="23.85" hidden="false" customHeight="false" outlineLevel="0" collapsed="false">
      <c r="A26" s="8" t="n">
        <v>20</v>
      </c>
      <c r="B26" s="9" t="s">
        <v>137</v>
      </c>
      <c r="C26" s="9" t="s">
        <v>138</v>
      </c>
      <c r="D26" s="9" t="s">
        <v>106</v>
      </c>
      <c r="E26" s="10" t="s">
        <v>54</v>
      </c>
      <c r="F26" s="11" t="n">
        <v>0.8</v>
      </c>
      <c r="G26" s="8" t="n">
        <v>1</v>
      </c>
      <c r="H26" s="12" t="n">
        <v>55</v>
      </c>
      <c r="I26" s="12" t="n">
        <f aca="false">G26*H26</f>
        <v>55</v>
      </c>
      <c r="J26" s="13" t="n">
        <v>1800</v>
      </c>
      <c r="K26" s="13" t="n">
        <f aca="false">G26*J26</f>
        <v>1800</v>
      </c>
      <c r="L26" s="13" t="n">
        <f aca="false">K26*F26</f>
        <v>1440</v>
      </c>
      <c r="M26" s="8" t="s">
        <v>42</v>
      </c>
      <c r="N26" s="9" t="s">
        <v>139</v>
      </c>
      <c r="O26" s="9" t="s">
        <v>61</v>
      </c>
    </row>
    <row r="27" customFormat="false" ht="23.85" hidden="false" customHeight="false" outlineLevel="0" collapsed="false">
      <c r="A27" s="8" t="n">
        <v>21</v>
      </c>
      <c r="B27" s="9" t="s">
        <v>140</v>
      </c>
      <c r="C27" s="9" t="s">
        <v>141</v>
      </c>
      <c r="D27" s="9" t="s">
        <v>142</v>
      </c>
      <c r="E27" s="10" t="s">
        <v>54</v>
      </c>
      <c r="F27" s="11" t="n">
        <v>0.8</v>
      </c>
      <c r="G27" s="8" t="n">
        <v>1</v>
      </c>
      <c r="H27" s="12" t="n">
        <v>45</v>
      </c>
      <c r="I27" s="12" t="n">
        <f aca="false">G27*H27</f>
        <v>45</v>
      </c>
      <c r="J27" s="13" t="n">
        <v>2800</v>
      </c>
      <c r="K27" s="13" t="n">
        <f aca="false">G27*J27</f>
        <v>2800</v>
      </c>
      <c r="L27" s="13" t="n">
        <f aca="false">K27*F27</f>
        <v>2240</v>
      </c>
      <c r="M27" s="8" t="s">
        <v>107</v>
      </c>
      <c r="N27" s="9" t="s">
        <v>143</v>
      </c>
      <c r="O27" s="9" t="s">
        <v>144</v>
      </c>
    </row>
    <row r="28" customFormat="false" ht="23.85" hidden="false" customHeight="false" outlineLevel="0" collapsed="false">
      <c r="A28" s="8" t="n">
        <v>22</v>
      </c>
      <c r="B28" s="9" t="s">
        <v>145</v>
      </c>
      <c r="C28" s="9" t="s">
        <v>146</v>
      </c>
      <c r="D28" s="9" t="s">
        <v>147</v>
      </c>
      <c r="E28" s="10" t="s">
        <v>54</v>
      </c>
      <c r="F28" s="11" t="n">
        <v>0.8</v>
      </c>
      <c r="G28" s="8" t="n">
        <v>2</v>
      </c>
      <c r="H28" s="12" t="n">
        <v>31</v>
      </c>
      <c r="I28" s="12" t="n">
        <f aca="false">G28*H28</f>
        <v>62</v>
      </c>
      <c r="J28" s="13" t="n">
        <v>1000</v>
      </c>
      <c r="K28" s="13" t="n">
        <f aca="false">G28*J28</f>
        <v>2000</v>
      </c>
      <c r="L28" s="13" t="n">
        <f aca="false">K28*F28</f>
        <v>1600</v>
      </c>
      <c r="M28" s="8" t="s">
        <v>148</v>
      </c>
      <c r="N28" s="9" t="s">
        <v>149</v>
      </c>
      <c r="O28" s="9" t="s">
        <v>150</v>
      </c>
    </row>
    <row r="29" customFormat="false" ht="23.85" hidden="false" customHeight="false" outlineLevel="0" collapsed="false">
      <c r="A29" s="8" t="n">
        <v>23</v>
      </c>
      <c r="B29" s="9" t="s">
        <v>151</v>
      </c>
      <c r="C29" s="9" t="s">
        <v>152</v>
      </c>
      <c r="D29" s="9" t="s">
        <v>153</v>
      </c>
      <c r="E29" s="10" t="s">
        <v>54</v>
      </c>
      <c r="F29" s="11" t="n">
        <v>1</v>
      </c>
      <c r="G29" s="8" t="n">
        <v>1</v>
      </c>
      <c r="H29" s="12" t="n">
        <v>205</v>
      </c>
      <c r="I29" s="12" t="n">
        <f aca="false">G29*H29</f>
        <v>205</v>
      </c>
      <c r="J29" s="13" t="n">
        <v>1200</v>
      </c>
      <c r="K29" s="13" t="n">
        <f aca="false">G29*J29</f>
        <v>1200</v>
      </c>
      <c r="L29" s="13" t="n">
        <f aca="false">K29*F29</f>
        <v>1200</v>
      </c>
      <c r="M29" s="8" t="s">
        <v>74</v>
      </c>
      <c r="N29" s="9" t="s">
        <v>154</v>
      </c>
      <c r="O29" s="9" t="s">
        <v>155</v>
      </c>
    </row>
    <row r="30" customFormat="false" ht="35.05" hidden="false" customHeight="false" outlineLevel="0" collapsed="false">
      <c r="A30" s="8" t="n">
        <v>24</v>
      </c>
      <c r="B30" s="9" t="s">
        <v>156</v>
      </c>
      <c r="C30" s="9" t="s">
        <v>157</v>
      </c>
      <c r="D30" s="9" t="s">
        <v>158</v>
      </c>
      <c r="E30" s="15" t="s">
        <v>159</v>
      </c>
      <c r="F30" s="11" t="n">
        <v>0.1</v>
      </c>
      <c r="G30" s="8" t="n">
        <v>1</v>
      </c>
      <c r="H30" s="12" t="n">
        <v>45</v>
      </c>
      <c r="I30" s="12" t="n">
        <f aca="false">G30*H30</f>
        <v>45</v>
      </c>
      <c r="J30" s="13" t="n">
        <v>900</v>
      </c>
      <c r="K30" s="13" t="n">
        <f aca="false">G30*J30</f>
        <v>900</v>
      </c>
      <c r="L30" s="13" t="n">
        <f aca="false">K30*F30</f>
        <v>90</v>
      </c>
      <c r="M30" s="8" t="s">
        <v>148</v>
      </c>
      <c r="N30" s="9" t="s">
        <v>160</v>
      </c>
      <c r="O30" s="9" t="s">
        <v>161</v>
      </c>
    </row>
    <row r="31" customFormat="false" ht="15" hidden="false" customHeight="false" outlineLevel="0" collapsed="false">
      <c r="A31" s="8" t="n">
        <v>25</v>
      </c>
      <c r="B31" s="9" t="s">
        <v>162</v>
      </c>
      <c r="C31" s="9" t="s">
        <v>163</v>
      </c>
      <c r="D31" s="9" t="s">
        <v>164</v>
      </c>
      <c r="E31" s="14" t="s">
        <v>123</v>
      </c>
      <c r="F31" s="11" t="n">
        <v>0.5</v>
      </c>
      <c r="G31" s="8" t="n">
        <v>1</v>
      </c>
      <c r="H31" s="12" t="n">
        <v>12</v>
      </c>
      <c r="I31" s="12" t="n">
        <f aca="false">G31*H31</f>
        <v>12</v>
      </c>
      <c r="J31" s="13" t="n">
        <v>250</v>
      </c>
      <c r="K31" s="13" t="n">
        <f aca="false">G31*J31</f>
        <v>250</v>
      </c>
      <c r="L31" s="13" t="n">
        <f aca="false">K31*F31</f>
        <v>125</v>
      </c>
      <c r="M31" s="8" t="s">
        <v>74</v>
      </c>
      <c r="N31" s="9" t="s">
        <v>165</v>
      </c>
      <c r="O31" s="9" t="s">
        <v>61</v>
      </c>
    </row>
    <row r="32" customFormat="false" ht="15" hidden="false" customHeight="false" outlineLevel="0" collapsed="false">
      <c r="A32" s="6" t="s">
        <v>166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customFormat="false" ht="68.65" hidden="false" customHeight="false" outlineLevel="0" collapsed="false">
      <c r="A33" s="8" t="n">
        <v>26</v>
      </c>
      <c r="B33" s="9" t="s">
        <v>167</v>
      </c>
      <c r="C33" s="9" t="s">
        <v>168</v>
      </c>
      <c r="D33" s="9" t="s">
        <v>169</v>
      </c>
      <c r="E33" s="10" t="s">
        <v>41</v>
      </c>
      <c r="F33" s="11" t="n">
        <v>0.6</v>
      </c>
      <c r="G33" s="8" t="n">
        <v>1</v>
      </c>
      <c r="H33" s="12" t="n">
        <v>50</v>
      </c>
      <c r="I33" s="12" t="n">
        <f aca="false">G33*H33</f>
        <v>50</v>
      </c>
      <c r="J33" s="13" t="n">
        <v>26000</v>
      </c>
      <c r="K33" s="13" t="n">
        <f aca="false">G33*J33</f>
        <v>26000</v>
      </c>
      <c r="L33" s="13" t="n">
        <f aca="false">K33*F33</f>
        <v>15600</v>
      </c>
      <c r="M33" s="8" t="s">
        <v>101</v>
      </c>
      <c r="N33" s="9" t="s">
        <v>170</v>
      </c>
      <c r="O33" s="9" t="s">
        <v>171</v>
      </c>
    </row>
    <row r="34" customFormat="false" ht="35.05" hidden="false" customHeight="false" outlineLevel="0" collapsed="false">
      <c r="A34" s="8" t="n">
        <v>27</v>
      </c>
      <c r="B34" s="9" t="s">
        <v>172</v>
      </c>
      <c r="C34" s="9" t="s">
        <v>173</v>
      </c>
      <c r="D34" s="9" t="s">
        <v>174</v>
      </c>
      <c r="E34" s="10" t="s">
        <v>54</v>
      </c>
      <c r="F34" s="11" t="n">
        <v>1</v>
      </c>
      <c r="G34" s="8" t="n">
        <v>1</v>
      </c>
      <c r="H34" s="12" t="n">
        <v>60</v>
      </c>
      <c r="I34" s="12" t="n">
        <f aca="false">G34*H34</f>
        <v>60</v>
      </c>
      <c r="J34" s="13" t="n">
        <v>0</v>
      </c>
      <c r="K34" s="13" t="n">
        <f aca="false">G34*J34</f>
        <v>0</v>
      </c>
      <c r="L34" s="13" t="n">
        <f aca="false">K34*F34</f>
        <v>0</v>
      </c>
      <c r="M34" s="8" t="s">
        <v>175</v>
      </c>
      <c r="N34" s="9" t="s">
        <v>176</v>
      </c>
      <c r="O34" s="9" t="s">
        <v>177</v>
      </c>
    </row>
    <row r="35" customFormat="false" ht="57.45" hidden="false" customHeight="false" outlineLevel="0" collapsed="false">
      <c r="A35" s="8" t="n">
        <v>28</v>
      </c>
      <c r="B35" s="9" t="s">
        <v>178</v>
      </c>
      <c r="C35" s="9" t="s">
        <v>179</v>
      </c>
      <c r="D35" s="9" t="s">
        <v>180</v>
      </c>
      <c r="E35" s="10" t="s">
        <v>41</v>
      </c>
      <c r="F35" s="11" t="n">
        <v>0.6</v>
      </c>
      <c r="G35" s="8" t="n">
        <v>1</v>
      </c>
      <c r="H35" s="12" t="n">
        <v>55</v>
      </c>
      <c r="I35" s="12" t="n">
        <f aca="false">G35*H35</f>
        <v>55</v>
      </c>
      <c r="J35" s="13" t="n">
        <v>18000</v>
      </c>
      <c r="K35" s="13" t="n">
        <f aca="false">G35*J35</f>
        <v>18000</v>
      </c>
      <c r="L35" s="13" t="n">
        <f aca="false">K35*F35</f>
        <v>10800</v>
      </c>
      <c r="M35" s="8" t="s">
        <v>48</v>
      </c>
      <c r="N35" s="9" t="s">
        <v>181</v>
      </c>
      <c r="O35" s="9" t="s">
        <v>182</v>
      </c>
    </row>
    <row r="36" customFormat="false" ht="35.05" hidden="false" customHeight="false" outlineLevel="0" collapsed="false">
      <c r="A36" s="8" t="n">
        <v>29</v>
      </c>
      <c r="B36" s="9" t="s">
        <v>183</v>
      </c>
      <c r="C36" s="9" t="s">
        <v>184</v>
      </c>
      <c r="D36" s="9" t="s">
        <v>185</v>
      </c>
      <c r="E36" s="10" t="s">
        <v>41</v>
      </c>
      <c r="F36" s="11" t="n">
        <v>0.6</v>
      </c>
      <c r="G36" s="8" t="n">
        <v>1</v>
      </c>
      <c r="H36" s="12" t="n">
        <v>50</v>
      </c>
      <c r="I36" s="12" t="n">
        <f aca="false">G36*H36</f>
        <v>50</v>
      </c>
      <c r="J36" s="13" t="n">
        <v>17000</v>
      </c>
      <c r="K36" s="13" t="n">
        <f aca="false">G36*J36</f>
        <v>17000</v>
      </c>
      <c r="L36" s="13" t="n">
        <f aca="false">K36*F36</f>
        <v>10200</v>
      </c>
      <c r="M36" s="8" t="s">
        <v>48</v>
      </c>
      <c r="N36" s="9" t="s">
        <v>186</v>
      </c>
      <c r="O36" s="9" t="s">
        <v>187</v>
      </c>
    </row>
    <row r="37" customFormat="false" ht="23.85" hidden="false" customHeight="false" outlineLevel="0" collapsed="false">
      <c r="A37" s="8" t="n">
        <v>30</v>
      </c>
      <c r="B37" s="9" t="s">
        <v>188</v>
      </c>
      <c r="C37" s="9" t="s">
        <v>189</v>
      </c>
      <c r="D37" s="9" t="s">
        <v>190</v>
      </c>
      <c r="E37" s="10" t="s">
        <v>41</v>
      </c>
      <c r="F37" s="11" t="n">
        <v>0.6</v>
      </c>
      <c r="G37" s="8" t="n">
        <v>2</v>
      </c>
      <c r="H37" s="12" t="n">
        <v>35</v>
      </c>
      <c r="I37" s="12" t="n">
        <f aca="false">G37*H37</f>
        <v>70</v>
      </c>
      <c r="J37" s="13" t="n">
        <v>3200</v>
      </c>
      <c r="K37" s="13" t="n">
        <f aca="false">G37*J37</f>
        <v>6400</v>
      </c>
      <c r="L37" s="13" t="n">
        <f aca="false">K37*F37</f>
        <v>3840</v>
      </c>
      <c r="M37" s="8" t="s">
        <v>48</v>
      </c>
      <c r="N37" s="9" t="s">
        <v>191</v>
      </c>
      <c r="O37" s="9" t="s">
        <v>61</v>
      </c>
    </row>
    <row r="38" customFormat="false" ht="23.85" hidden="false" customHeight="false" outlineLevel="0" collapsed="false">
      <c r="A38" s="8" t="n">
        <v>31</v>
      </c>
      <c r="B38" s="9" t="s">
        <v>192</v>
      </c>
      <c r="C38" s="9" t="s">
        <v>193</v>
      </c>
      <c r="D38" s="9" t="s">
        <v>194</v>
      </c>
      <c r="E38" s="14" t="s">
        <v>123</v>
      </c>
      <c r="F38" s="11" t="n">
        <v>0.5</v>
      </c>
      <c r="G38" s="8" t="n">
        <v>1</v>
      </c>
      <c r="H38" s="12" t="n">
        <v>12</v>
      </c>
      <c r="I38" s="12" t="n">
        <f aca="false">G38*H38</f>
        <v>12</v>
      </c>
      <c r="J38" s="13" t="n">
        <v>2000</v>
      </c>
      <c r="K38" s="13" t="n">
        <f aca="false">G38*J38</f>
        <v>2000</v>
      </c>
      <c r="L38" s="13" t="n">
        <f aca="false">K38*F38</f>
        <v>1000</v>
      </c>
      <c r="M38" s="8" t="s">
        <v>74</v>
      </c>
      <c r="N38" s="9" t="s">
        <v>195</v>
      </c>
      <c r="O38" s="9" t="s">
        <v>196</v>
      </c>
    </row>
    <row r="39" customFormat="false" ht="23.85" hidden="false" customHeight="false" outlineLevel="0" collapsed="false">
      <c r="A39" s="8" t="n">
        <v>32</v>
      </c>
      <c r="B39" s="9" t="s">
        <v>197</v>
      </c>
      <c r="C39" s="9" t="s">
        <v>198</v>
      </c>
      <c r="D39" s="9" t="s">
        <v>199</v>
      </c>
      <c r="E39" s="14" t="s">
        <v>123</v>
      </c>
      <c r="F39" s="11" t="n">
        <v>0.4</v>
      </c>
      <c r="G39" s="8" t="n">
        <v>1</v>
      </c>
      <c r="H39" s="12" t="n">
        <v>22</v>
      </c>
      <c r="I39" s="12" t="n">
        <f aca="false">G39*H39</f>
        <v>22</v>
      </c>
      <c r="J39" s="13" t="n">
        <v>1400</v>
      </c>
      <c r="K39" s="13" t="n">
        <f aca="false">G39*J39</f>
        <v>1400</v>
      </c>
      <c r="L39" s="13" t="n">
        <f aca="false">K39*F39</f>
        <v>560</v>
      </c>
      <c r="M39" s="8" t="s">
        <v>148</v>
      </c>
      <c r="N39" s="9" t="s">
        <v>200</v>
      </c>
      <c r="O39" s="9" t="s">
        <v>201</v>
      </c>
    </row>
    <row r="40" customFormat="false" ht="15" hidden="false" customHeight="false" outlineLevel="0" collapsed="false">
      <c r="A40" s="6" t="s">
        <v>202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customFormat="false" ht="79.85" hidden="false" customHeight="false" outlineLevel="0" collapsed="false">
      <c r="A41" s="8" t="n">
        <v>33</v>
      </c>
      <c r="B41" s="9" t="s">
        <v>203</v>
      </c>
      <c r="C41" s="9" t="s">
        <v>204</v>
      </c>
      <c r="D41" s="9" t="s">
        <v>205</v>
      </c>
      <c r="E41" s="15" t="s">
        <v>159</v>
      </c>
      <c r="F41" s="11" t="n">
        <v>0.25</v>
      </c>
      <c r="G41" s="8" t="n">
        <v>1</v>
      </c>
      <c r="H41" s="12" t="n">
        <v>200</v>
      </c>
      <c r="I41" s="12" t="n">
        <f aca="false">G41*H41</f>
        <v>200</v>
      </c>
      <c r="J41" s="13" t="n">
        <v>55000</v>
      </c>
      <c r="K41" s="13" t="n">
        <f aca="false">G41*J41</f>
        <v>55000</v>
      </c>
      <c r="L41" s="13" t="n">
        <f aca="false">K41*F41</f>
        <v>13750</v>
      </c>
      <c r="M41" s="8" t="s">
        <v>206</v>
      </c>
      <c r="N41" s="9" t="s">
        <v>207</v>
      </c>
      <c r="O41" s="9" t="s">
        <v>208</v>
      </c>
    </row>
    <row r="42" customFormat="false" ht="15" hidden="false" customHeight="false" outlineLevel="0" collapsed="false">
      <c r="A42" s="8" t="n">
        <v>34</v>
      </c>
      <c r="B42" s="9" t="s">
        <v>209</v>
      </c>
      <c r="C42" s="9" t="s">
        <v>210</v>
      </c>
      <c r="D42" s="9" t="s">
        <v>211</v>
      </c>
      <c r="E42" s="15" t="s">
        <v>159</v>
      </c>
      <c r="F42" s="11" t="n">
        <v>0.1</v>
      </c>
      <c r="G42" s="8" t="n">
        <v>1</v>
      </c>
      <c r="H42" s="12" t="n">
        <v>10</v>
      </c>
      <c r="I42" s="12" t="n">
        <f aca="false">G42*H42</f>
        <v>10</v>
      </c>
      <c r="J42" s="13" t="n">
        <v>2800</v>
      </c>
      <c r="K42" s="13" t="n">
        <f aca="false">G42*J42</f>
        <v>2800</v>
      </c>
      <c r="L42" s="13" t="n">
        <f aca="false">K42*F42</f>
        <v>280</v>
      </c>
      <c r="M42" s="8" t="s">
        <v>74</v>
      </c>
      <c r="N42" s="9" t="s">
        <v>212</v>
      </c>
      <c r="O42" s="9" t="s">
        <v>213</v>
      </c>
    </row>
    <row r="43" customFormat="false" ht="57.45" hidden="false" customHeight="false" outlineLevel="0" collapsed="false">
      <c r="A43" s="8" t="n">
        <v>35</v>
      </c>
      <c r="B43" s="9" t="s">
        <v>214</v>
      </c>
      <c r="C43" s="9" t="s">
        <v>215</v>
      </c>
      <c r="D43" s="9" t="s">
        <v>216</v>
      </c>
      <c r="E43" s="10" t="s">
        <v>41</v>
      </c>
      <c r="F43" s="11" t="n">
        <v>0.6</v>
      </c>
      <c r="G43" s="8" t="n">
        <v>1</v>
      </c>
      <c r="H43" s="12" t="n">
        <v>80</v>
      </c>
      <c r="I43" s="12" t="n">
        <f aca="false">G43*H43</f>
        <v>80</v>
      </c>
      <c r="J43" s="13" t="n">
        <v>14000</v>
      </c>
      <c r="K43" s="13" t="n">
        <f aca="false">G43*J43</f>
        <v>14000</v>
      </c>
      <c r="L43" s="13" t="n">
        <f aca="false">K43*F43</f>
        <v>8400</v>
      </c>
      <c r="M43" s="8" t="s">
        <v>101</v>
      </c>
      <c r="N43" s="9" t="s">
        <v>217</v>
      </c>
      <c r="O43" s="9" t="s">
        <v>218</v>
      </c>
    </row>
    <row r="44" customFormat="false" ht="23.85" hidden="false" customHeight="false" outlineLevel="0" collapsed="false">
      <c r="A44" s="8" t="n">
        <v>36</v>
      </c>
      <c r="B44" s="9" t="s">
        <v>219</v>
      </c>
      <c r="C44" s="9" t="s">
        <v>220</v>
      </c>
      <c r="D44" s="9" t="s">
        <v>221</v>
      </c>
      <c r="E44" s="10" t="s">
        <v>41</v>
      </c>
      <c r="F44" s="11" t="n">
        <v>0.5</v>
      </c>
      <c r="G44" s="8" t="n">
        <v>1</v>
      </c>
      <c r="H44" s="12" t="n">
        <v>25</v>
      </c>
      <c r="I44" s="12" t="n">
        <f aca="false">G44*H44</f>
        <v>25</v>
      </c>
      <c r="J44" s="13" t="n">
        <v>2600</v>
      </c>
      <c r="K44" s="13" t="n">
        <f aca="false">G44*J44</f>
        <v>2600</v>
      </c>
      <c r="L44" s="13" t="n">
        <f aca="false">K44*F44</f>
        <v>1300</v>
      </c>
      <c r="M44" s="8" t="s">
        <v>48</v>
      </c>
      <c r="N44" s="9" t="s">
        <v>222</v>
      </c>
      <c r="O44" s="9" t="s">
        <v>223</v>
      </c>
    </row>
    <row r="45" customFormat="false" ht="23.85" hidden="false" customHeight="false" outlineLevel="0" collapsed="false">
      <c r="A45" s="8" t="n">
        <v>37</v>
      </c>
      <c r="B45" s="9" t="s">
        <v>224</v>
      </c>
      <c r="C45" s="9" t="s">
        <v>225</v>
      </c>
      <c r="D45" s="9" t="s">
        <v>226</v>
      </c>
      <c r="E45" s="10" t="s">
        <v>54</v>
      </c>
      <c r="F45" s="11" t="n">
        <v>1</v>
      </c>
      <c r="G45" s="8" t="n">
        <v>1</v>
      </c>
      <c r="H45" s="12" t="n">
        <v>45</v>
      </c>
      <c r="I45" s="12" t="n">
        <f aca="false">G45*H45</f>
        <v>45</v>
      </c>
      <c r="J45" s="13" t="n">
        <v>1200</v>
      </c>
      <c r="K45" s="13" t="n">
        <f aca="false">G45*J45</f>
        <v>1200</v>
      </c>
      <c r="L45" s="13" t="n">
        <f aca="false">K45*F45</f>
        <v>1200</v>
      </c>
      <c r="M45" s="8" t="s">
        <v>74</v>
      </c>
      <c r="N45" s="9" t="s">
        <v>227</v>
      </c>
      <c r="O45" s="9" t="s">
        <v>61</v>
      </c>
    </row>
    <row r="46" customFormat="false" ht="23.85" hidden="false" customHeight="false" outlineLevel="0" collapsed="false">
      <c r="A46" s="8" t="n">
        <v>38</v>
      </c>
      <c r="B46" s="9" t="s">
        <v>228</v>
      </c>
      <c r="C46" s="9" t="s">
        <v>229</v>
      </c>
      <c r="D46" s="9" t="s">
        <v>230</v>
      </c>
      <c r="E46" s="14" t="s">
        <v>123</v>
      </c>
      <c r="F46" s="11" t="n">
        <v>0.4</v>
      </c>
      <c r="G46" s="8" t="n">
        <v>1</v>
      </c>
      <c r="H46" s="12" t="n">
        <v>100</v>
      </c>
      <c r="I46" s="12" t="n">
        <f aca="false">G46*H46</f>
        <v>100</v>
      </c>
      <c r="J46" s="13" t="n">
        <v>3500</v>
      </c>
      <c r="K46" s="13" t="n">
        <f aca="false">G46*J46</f>
        <v>3500</v>
      </c>
      <c r="L46" s="13" t="n">
        <f aca="false">K46*F46</f>
        <v>1400</v>
      </c>
      <c r="M46" s="8" t="s">
        <v>42</v>
      </c>
      <c r="N46" s="9" t="s">
        <v>231</v>
      </c>
      <c r="O46" s="9" t="s">
        <v>61</v>
      </c>
    </row>
    <row r="47" customFormat="false" ht="15" hidden="false" customHeight="false" outlineLevel="0" collapsed="false">
      <c r="A47" s="6" t="s">
        <v>232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customFormat="false" ht="46.25" hidden="false" customHeight="false" outlineLevel="0" collapsed="false">
      <c r="A48" s="8" t="n">
        <v>39</v>
      </c>
      <c r="B48" s="9" t="s">
        <v>233</v>
      </c>
      <c r="C48" s="9" t="s">
        <v>234</v>
      </c>
      <c r="D48" s="9" t="s">
        <v>235</v>
      </c>
      <c r="E48" s="14" t="s">
        <v>123</v>
      </c>
      <c r="F48" s="11" t="n">
        <v>0.4</v>
      </c>
      <c r="G48" s="8" t="n">
        <v>1</v>
      </c>
      <c r="H48" s="12" t="n">
        <v>45</v>
      </c>
      <c r="I48" s="12" t="n">
        <f aca="false">G48*H48</f>
        <v>45</v>
      </c>
      <c r="J48" s="13" t="n">
        <v>9000</v>
      </c>
      <c r="K48" s="13" t="n">
        <f aca="false">G48*J48</f>
        <v>9000</v>
      </c>
      <c r="L48" s="13" t="n">
        <f aca="false">K48*F48</f>
        <v>3600</v>
      </c>
      <c r="M48" s="8" t="s">
        <v>101</v>
      </c>
      <c r="N48" s="9" t="s">
        <v>236</v>
      </c>
      <c r="O48" s="9" t="s">
        <v>237</v>
      </c>
    </row>
    <row r="49" customFormat="false" ht="23.85" hidden="false" customHeight="false" outlineLevel="0" collapsed="false">
      <c r="A49" s="8" t="n">
        <v>40</v>
      </c>
      <c r="B49" s="9" t="s">
        <v>238</v>
      </c>
      <c r="C49" s="9" t="s">
        <v>239</v>
      </c>
      <c r="D49" s="9" t="s">
        <v>240</v>
      </c>
      <c r="E49" s="10" t="s">
        <v>41</v>
      </c>
      <c r="F49" s="11" t="n">
        <v>0.6</v>
      </c>
      <c r="G49" s="8" t="n">
        <v>2</v>
      </c>
      <c r="H49" s="12" t="n">
        <v>22</v>
      </c>
      <c r="I49" s="12" t="n">
        <f aca="false">G49*H49</f>
        <v>44</v>
      </c>
      <c r="J49" s="13" t="n">
        <v>700</v>
      </c>
      <c r="K49" s="13" t="n">
        <f aca="false">G49*J49</f>
        <v>1400</v>
      </c>
      <c r="L49" s="13" t="n">
        <f aca="false">K49*F49</f>
        <v>840</v>
      </c>
      <c r="M49" s="8" t="s">
        <v>42</v>
      </c>
      <c r="N49" s="9" t="s">
        <v>241</v>
      </c>
      <c r="O49" s="9" t="s">
        <v>242</v>
      </c>
    </row>
    <row r="50" customFormat="false" ht="35.05" hidden="false" customHeight="false" outlineLevel="0" collapsed="false">
      <c r="A50" s="8" t="n">
        <v>41</v>
      </c>
      <c r="B50" s="9" t="s">
        <v>243</v>
      </c>
      <c r="C50" s="9" t="s">
        <v>244</v>
      </c>
      <c r="D50" s="9" t="s">
        <v>245</v>
      </c>
      <c r="E50" s="14" t="s">
        <v>123</v>
      </c>
      <c r="F50" s="11" t="n">
        <v>0.4</v>
      </c>
      <c r="G50" s="8" t="n">
        <v>1</v>
      </c>
      <c r="H50" s="12" t="n">
        <v>30</v>
      </c>
      <c r="I50" s="12" t="n">
        <f aca="false">G50*H50</f>
        <v>30</v>
      </c>
      <c r="J50" s="13" t="n">
        <v>7500</v>
      </c>
      <c r="K50" s="13" t="n">
        <f aca="false">G50*J50</f>
        <v>7500</v>
      </c>
      <c r="L50" s="13" t="n">
        <f aca="false">K50*F50</f>
        <v>3000</v>
      </c>
      <c r="M50" s="8" t="s">
        <v>48</v>
      </c>
      <c r="N50" s="9" t="s">
        <v>246</v>
      </c>
      <c r="O50" s="9" t="s">
        <v>247</v>
      </c>
    </row>
    <row r="51" customFormat="false" ht="15" hidden="false" customHeight="false" outlineLevel="0" collapsed="false">
      <c r="A51" s="8" t="n">
        <v>42</v>
      </c>
      <c r="B51" s="9" t="s">
        <v>248</v>
      </c>
      <c r="C51" s="9" t="s">
        <v>249</v>
      </c>
      <c r="D51" s="9" t="s">
        <v>250</v>
      </c>
      <c r="E51" s="10" t="s">
        <v>41</v>
      </c>
      <c r="F51" s="11" t="n">
        <v>0.6</v>
      </c>
      <c r="G51" s="8" t="n">
        <v>1</v>
      </c>
      <c r="H51" s="12" t="n">
        <v>20</v>
      </c>
      <c r="I51" s="12" t="n">
        <f aca="false">G51*H51</f>
        <v>20</v>
      </c>
      <c r="J51" s="13" t="n">
        <v>600</v>
      </c>
      <c r="K51" s="13" t="n">
        <f aca="false">G51*J51</f>
        <v>600</v>
      </c>
      <c r="L51" s="13" t="n">
        <f aca="false">K51*F51</f>
        <v>360</v>
      </c>
      <c r="M51" s="8" t="s">
        <v>42</v>
      </c>
      <c r="N51" s="9" t="s">
        <v>251</v>
      </c>
      <c r="O51" s="9" t="s">
        <v>61</v>
      </c>
    </row>
    <row r="52" customFormat="false" ht="15" hidden="false" customHeight="false" outlineLevel="0" collapsed="false">
      <c r="A52" s="6" t="s">
        <v>252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customFormat="false" ht="23.85" hidden="false" customHeight="false" outlineLevel="0" collapsed="false">
      <c r="A53" s="8" t="n">
        <v>43</v>
      </c>
      <c r="B53" s="9" t="s">
        <v>253</v>
      </c>
      <c r="C53" s="9" t="s">
        <v>254</v>
      </c>
      <c r="D53" s="9" t="s">
        <v>255</v>
      </c>
      <c r="E53" s="14" t="s">
        <v>123</v>
      </c>
      <c r="F53" s="11" t="n">
        <v>0.4</v>
      </c>
      <c r="G53" s="8" t="n">
        <v>4</v>
      </c>
      <c r="H53" s="12" t="n">
        <v>14</v>
      </c>
      <c r="I53" s="12" t="n">
        <f aca="false">G53*H53</f>
        <v>56</v>
      </c>
      <c r="J53" s="13" t="n">
        <v>700</v>
      </c>
      <c r="K53" s="13" t="n">
        <f aca="false">G53*J53</f>
        <v>2800</v>
      </c>
      <c r="L53" s="13" t="n">
        <f aca="false">K53*F53</f>
        <v>1120</v>
      </c>
      <c r="M53" s="8" t="s">
        <v>148</v>
      </c>
      <c r="N53" s="9" t="s">
        <v>256</v>
      </c>
      <c r="O53" s="9" t="s">
        <v>257</v>
      </c>
    </row>
    <row r="54" customFormat="false" ht="23.85" hidden="false" customHeight="false" outlineLevel="0" collapsed="false">
      <c r="A54" s="8" t="n">
        <v>44</v>
      </c>
      <c r="B54" s="9" t="s">
        <v>258</v>
      </c>
      <c r="C54" s="9" t="s">
        <v>259</v>
      </c>
      <c r="D54" s="9" t="s">
        <v>226</v>
      </c>
      <c r="E54" s="10" t="s">
        <v>54</v>
      </c>
      <c r="F54" s="11" t="n">
        <v>1</v>
      </c>
      <c r="G54" s="8" t="n">
        <v>1</v>
      </c>
      <c r="H54" s="12" t="n">
        <v>120</v>
      </c>
      <c r="I54" s="12" t="n">
        <f aca="false">G54*H54</f>
        <v>120</v>
      </c>
      <c r="J54" s="13" t="n">
        <v>800</v>
      </c>
      <c r="K54" s="13" t="n">
        <f aca="false">G54*J54</f>
        <v>800</v>
      </c>
      <c r="L54" s="13" t="n">
        <f aca="false">K54*F54</f>
        <v>800</v>
      </c>
      <c r="M54" s="8" t="s">
        <v>74</v>
      </c>
      <c r="N54" s="9" t="s">
        <v>260</v>
      </c>
      <c r="O54" s="9" t="s">
        <v>61</v>
      </c>
    </row>
    <row r="55" customFormat="false" ht="23.85" hidden="false" customHeight="false" outlineLevel="0" collapsed="false">
      <c r="A55" s="8" t="n">
        <v>45</v>
      </c>
      <c r="B55" s="9" t="s">
        <v>261</v>
      </c>
      <c r="C55" s="9" t="s">
        <v>262</v>
      </c>
      <c r="D55" s="9" t="s">
        <v>263</v>
      </c>
      <c r="E55" s="10" t="s">
        <v>54</v>
      </c>
      <c r="F55" s="11" t="n">
        <v>1</v>
      </c>
      <c r="G55" s="8" t="n">
        <v>4</v>
      </c>
      <c r="H55" s="12" t="n">
        <v>9</v>
      </c>
      <c r="I55" s="12" t="n">
        <f aca="false">G55*H55</f>
        <v>36</v>
      </c>
      <c r="J55" s="13" t="n">
        <v>250</v>
      </c>
      <c r="K55" s="13" t="n">
        <f aca="false">G55*J55</f>
        <v>1000</v>
      </c>
      <c r="L55" s="13" t="n">
        <f aca="false">K55*F55</f>
        <v>1000</v>
      </c>
      <c r="M55" s="8" t="s">
        <v>74</v>
      </c>
      <c r="N55" s="9" t="s">
        <v>264</v>
      </c>
      <c r="O55" s="9" t="s">
        <v>265</v>
      </c>
    </row>
    <row r="56" customFormat="false" ht="23.85" hidden="false" customHeight="false" outlineLevel="0" collapsed="false">
      <c r="A56" s="8" t="n">
        <v>46</v>
      </c>
      <c r="B56" s="9" t="s">
        <v>266</v>
      </c>
      <c r="C56" s="9" t="s">
        <v>267</v>
      </c>
      <c r="D56" s="9" t="s">
        <v>268</v>
      </c>
      <c r="E56" s="14" t="s">
        <v>123</v>
      </c>
      <c r="F56" s="11" t="n">
        <v>0.3</v>
      </c>
      <c r="G56" s="8" t="n">
        <v>4</v>
      </c>
      <c r="H56" s="12" t="n">
        <v>4</v>
      </c>
      <c r="I56" s="12" t="n">
        <f aca="false">G56*H56</f>
        <v>16</v>
      </c>
      <c r="J56" s="13" t="n">
        <v>150</v>
      </c>
      <c r="K56" s="13" t="n">
        <f aca="false">G56*J56</f>
        <v>600</v>
      </c>
      <c r="L56" s="13" t="n">
        <f aca="false">K56*F56</f>
        <v>180</v>
      </c>
      <c r="M56" s="8" t="s">
        <v>74</v>
      </c>
      <c r="N56" s="9" t="s">
        <v>269</v>
      </c>
      <c r="O56" s="9" t="s">
        <v>61</v>
      </c>
    </row>
    <row r="57" customFormat="false" ht="15" hidden="false" customHeight="false" outlineLevel="0" collapsed="false">
      <c r="A57" s="8" t="n">
        <v>47</v>
      </c>
      <c r="B57" s="9" t="s">
        <v>270</v>
      </c>
      <c r="C57" s="9" t="s">
        <v>271</v>
      </c>
      <c r="D57" s="9" t="s">
        <v>272</v>
      </c>
      <c r="E57" s="10" t="s">
        <v>54</v>
      </c>
      <c r="F57" s="11" t="n">
        <v>1</v>
      </c>
      <c r="G57" s="8" t="n">
        <v>1</v>
      </c>
      <c r="H57" s="12" t="n">
        <v>15</v>
      </c>
      <c r="I57" s="12" t="n">
        <f aca="false">G57*H57</f>
        <v>15</v>
      </c>
      <c r="J57" s="13" t="n">
        <v>200</v>
      </c>
      <c r="K57" s="13" t="n">
        <f aca="false">G57*J57</f>
        <v>200</v>
      </c>
      <c r="L57" s="13" t="n">
        <f aca="false">K57*F57</f>
        <v>200</v>
      </c>
      <c r="M57" s="8" t="s">
        <v>74</v>
      </c>
      <c r="N57" s="9" t="s">
        <v>273</v>
      </c>
      <c r="O57" s="9" t="s">
        <v>61</v>
      </c>
    </row>
    <row r="58" customFormat="false" ht="15" hidden="false" customHeight="false" outlineLevel="0" collapsed="false">
      <c r="B58" s="16" t="s">
        <v>274</v>
      </c>
      <c r="F58" s="17" t="n">
        <f aca="false">L58/K58</f>
        <v>0.567543859649123</v>
      </c>
      <c r="I58" s="18" t="n">
        <f aca="false">SUM(I5:I57)</f>
        <v>5936</v>
      </c>
      <c r="K58" s="19" t="n">
        <f aca="false">SUM(K5:K57)</f>
        <v>267900</v>
      </c>
      <c r="L58" s="19" t="n">
        <f aca="false">SUM(L5:L57)</f>
        <v>152045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54"/>
    <col collapsed="false" customWidth="true" hidden="false" outlineLevel="0" max="15" min="15" style="0" width="44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3" customFormat="false" ht="31.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</row>
    <row r="4" customFormat="false" ht="15" hidden="false" customHeight="false" outlineLevel="0" collapsed="false">
      <c r="A4" s="6" t="s">
        <v>277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23.85" hidden="false" customHeight="false" outlineLevel="0" collapsed="false">
      <c r="A5" s="8" t="n">
        <v>1</v>
      </c>
      <c r="B5" s="9" t="s">
        <v>278</v>
      </c>
      <c r="C5" s="9" t="s">
        <v>279</v>
      </c>
      <c r="D5" s="9" t="s">
        <v>280</v>
      </c>
      <c r="E5" s="10" t="s">
        <v>54</v>
      </c>
      <c r="F5" s="11" t="n">
        <v>1</v>
      </c>
      <c r="G5" s="8" t="n">
        <v>14</v>
      </c>
      <c r="H5" s="12" t="n">
        <v>55</v>
      </c>
      <c r="I5" s="12" t="n">
        <f aca="false">G5*H5</f>
        <v>770</v>
      </c>
      <c r="J5" s="13" t="n">
        <v>150</v>
      </c>
      <c r="K5" s="13" t="n">
        <f aca="false">G5*J5</f>
        <v>2100</v>
      </c>
      <c r="L5" s="13" t="n">
        <f aca="false">K5*F5</f>
        <v>2100</v>
      </c>
      <c r="M5" s="8" t="s">
        <v>42</v>
      </c>
      <c r="N5" s="9" t="s">
        <v>281</v>
      </c>
      <c r="O5" s="9" t="s">
        <v>282</v>
      </c>
    </row>
    <row r="6" customFormat="false" ht="15" hidden="false" customHeight="false" outlineLevel="0" collapsed="false">
      <c r="A6" s="8" t="n">
        <v>2</v>
      </c>
      <c r="B6" s="9" t="s">
        <v>283</v>
      </c>
      <c r="C6" s="9" t="s">
        <v>284</v>
      </c>
      <c r="D6" s="9" t="s">
        <v>285</v>
      </c>
      <c r="E6" s="10" t="s">
        <v>54</v>
      </c>
      <c r="F6" s="11" t="n">
        <v>1</v>
      </c>
      <c r="G6" s="8" t="n">
        <v>14</v>
      </c>
      <c r="H6" s="12" t="n">
        <v>18</v>
      </c>
      <c r="I6" s="12" t="n">
        <f aca="false">G6*H6</f>
        <v>252</v>
      </c>
      <c r="J6" s="13" t="n">
        <v>50</v>
      </c>
      <c r="K6" s="13" t="n">
        <f aca="false">G6*J6</f>
        <v>700</v>
      </c>
      <c r="L6" s="13" t="n">
        <f aca="false">K6*F6</f>
        <v>700</v>
      </c>
      <c r="M6" s="8" t="s">
        <v>74</v>
      </c>
      <c r="N6" s="9" t="s">
        <v>286</v>
      </c>
      <c r="O6" s="9" t="s">
        <v>61</v>
      </c>
    </row>
    <row r="7" customFormat="false" ht="23.85" hidden="false" customHeight="false" outlineLevel="0" collapsed="false">
      <c r="A7" s="8" t="n">
        <v>3</v>
      </c>
      <c r="B7" s="9" t="s">
        <v>287</v>
      </c>
      <c r="C7" s="9" t="s">
        <v>288</v>
      </c>
      <c r="D7" s="9" t="s">
        <v>289</v>
      </c>
      <c r="E7" s="10" t="s">
        <v>54</v>
      </c>
      <c r="F7" s="11" t="n">
        <v>1</v>
      </c>
      <c r="G7" s="8" t="n">
        <v>14</v>
      </c>
      <c r="H7" s="12" t="n">
        <v>110</v>
      </c>
      <c r="I7" s="12" t="n">
        <f aca="false">G7*H7</f>
        <v>1540</v>
      </c>
      <c r="J7" s="13" t="n">
        <v>180</v>
      </c>
      <c r="K7" s="13" t="n">
        <f aca="false">G7*J7</f>
        <v>2520</v>
      </c>
      <c r="L7" s="13" t="n">
        <f aca="false">K7*F7</f>
        <v>2520</v>
      </c>
      <c r="M7" s="8" t="s">
        <v>74</v>
      </c>
      <c r="N7" s="9" t="s">
        <v>290</v>
      </c>
      <c r="O7" s="9" t="s">
        <v>265</v>
      </c>
    </row>
    <row r="8" customFormat="false" ht="23.85" hidden="false" customHeight="false" outlineLevel="0" collapsed="false">
      <c r="A8" s="8" t="n">
        <v>4</v>
      </c>
      <c r="B8" s="9" t="s">
        <v>291</v>
      </c>
      <c r="C8" s="9" t="s">
        <v>292</v>
      </c>
      <c r="D8" s="9" t="s">
        <v>272</v>
      </c>
      <c r="E8" s="10" t="s">
        <v>54</v>
      </c>
      <c r="F8" s="11" t="n">
        <v>1</v>
      </c>
      <c r="G8" s="8" t="n">
        <v>14</v>
      </c>
      <c r="H8" s="12" t="n">
        <v>17</v>
      </c>
      <c r="I8" s="12" t="n">
        <f aca="false">G8*H8</f>
        <v>238</v>
      </c>
      <c r="J8" s="13" t="n">
        <v>20</v>
      </c>
      <c r="K8" s="13" t="n">
        <f aca="false">G8*J8</f>
        <v>280</v>
      </c>
      <c r="L8" s="13" t="n">
        <f aca="false">K8*F8</f>
        <v>280</v>
      </c>
      <c r="M8" s="8" t="s">
        <v>74</v>
      </c>
      <c r="N8" s="9" t="s">
        <v>293</v>
      </c>
      <c r="O8" s="9" t="s">
        <v>61</v>
      </c>
    </row>
    <row r="9" customFormat="false" ht="23.85" hidden="false" customHeight="false" outlineLevel="0" collapsed="false">
      <c r="A9" s="8" t="n">
        <v>5</v>
      </c>
      <c r="B9" s="9" t="s">
        <v>294</v>
      </c>
      <c r="C9" s="9" t="s">
        <v>295</v>
      </c>
      <c r="D9" s="9" t="s">
        <v>226</v>
      </c>
      <c r="E9" s="10" t="s">
        <v>54</v>
      </c>
      <c r="F9" s="11" t="n">
        <v>1</v>
      </c>
      <c r="G9" s="8" t="n">
        <v>24</v>
      </c>
      <c r="H9" s="12" t="n">
        <v>200</v>
      </c>
      <c r="I9" s="12" t="n">
        <f aca="false">G9*H9</f>
        <v>4800</v>
      </c>
      <c r="J9" s="13" t="n">
        <v>120</v>
      </c>
      <c r="K9" s="13" t="n">
        <f aca="false">G9*J9</f>
        <v>2880</v>
      </c>
      <c r="L9" s="13" t="n">
        <f aca="false">K9*F9</f>
        <v>2880</v>
      </c>
      <c r="M9" s="8" t="s">
        <v>74</v>
      </c>
      <c r="N9" s="9" t="s">
        <v>296</v>
      </c>
      <c r="O9" s="9" t="s">
        <v>61</v>
      </c>
    </row>
    <row r="10" customFormat="false" ht="15" hidden="false" customHeight="false" outlineLevel="0" collapsed="false">
      <c r="A10" s="6" t="s">
        <v>297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46.25" hidden="false" customHeight="false" outlineLevel="0" collapsed="false">
      <c r="A11" s="8" t="n">
        <v>6</v>
      </c>
      <c r="B11" s="9" t="s">
        <v>298</v>
      </c>
      <c r="C11" s="9" t="s">
        <v>299</v>
      </c>
      <c r="D11" s="9" t="s">
        <v>300</v>
      </c>
      <c r="E11" s="10" t="s">
        <v>54</v>
      </c>
      <c r="F11" s="11" t="n">
        <v>1</v>
      </c>
      <c r="G11" s="8" t="n">
        <v>6</v>
      </c>
      <c r="H11" s="12" t="n">
        <v>4000</v>
      </c>
      <c r="I11" s="12" t="n">
        <f aca="false">G11*H11</f>
        <v>24000</v>
      </c>
      <c r="J11" s="13" t="n">
        <v>3000</v>
      </c>
      <c r="K11" s="13" t="n">
        <f aca="false">G11*J11</f>
        <v>18000</v>
      </c>
      <c r="L11" s="13" t="n">
        <f aca="false">K11*F11</f>
        <v>18000</v>
      </c>
      <c r="M11" s="8" t="s">
        <v>48</v>
      </c>
      <c r="N11" s="9" t="s">
        <v>301</v>
      </c>
      <c r="O11" s="9" t="s">
        <v>302</v>
      </c>
    </row>
    <row r="12" customFormat="false" ht="23.85" hidden="false" customHeight="false" outlineLevel="0" collapsed="false">
      <c r="A12" s="8" t="n">
        <v>7</v>
      </c>
      <c r="B12" s="9" t="s">
        <v>303</v>
      </c>
      <c r="C12" s="9" t="s">
        <v>304</v>
      </c>
      <c r="D12" s="9" t="s">
        <v>272</v>
      </c>
      <c r="E12" s="10" t="s">
        <v>54</v>
      </c>
      <c r="F12" s="11" t="n">
        <v>1</v>
      </c>
      <c r="G12" s="8" t="n">
        <v>6</v>
      </c>
      <c r="H12" s="12" t="n">
        <v>400</v>
      </c>
      <c r="I12" s="12" t="n">
        <f aca="false">G12*H12</f>
        <v>2400</v>
      </c>
      <c r="J12" s="13" t="n">
        <v>500</v>
      </c>
      <c r="K12" s="13" t="n">
        <f aca="false">G12*J12</f>
        <v>3000</v>
      </c>
      <c r="L12" s="13" t="n">
        <f aca="false">K12*F12</f>
        <v>3000</v>
      </c>
      <c r="M12" s="8" t="s">
        <v>74</v>
      </c>
      <c r="N12" s="9" t="s">
        <v>305</v>
      </c>
      <c r="O12" s="9" t="s">
        <v>61</v>
      </c>
    </row>
    <row r="13" customFormat="false" ht="23.85" hidden="false" customHeight="false" outlineLevel="0" collapsed="false">
      <c r="A13" s="8" t="n">
        <v>8</v>
      </c>
      <c r="B13" s="9" t="s">
        <v>306</v>
      </c>
      <c r="C13" s="9" t="s">
        <v>307</v>
      </c>
      <c r="D13" s="9" t="s">
        <v>308</v>
      </c>
      <c r="E13" s="10" t="s">
        <v>54</v>
      </c>
      <c r="F13" s="11" t="n">
        <v>1</v>
      </c>
      <c r="G13" s="8" t="n">
        <v>3</v>
      </c>
      <c r="H13" s="12" t="n">
        <v>2500</v>
      </c>
      <c r="I13" s="12" t="n">
        <f aca="false">G13*H13</f>
        <v>7500</v>
      </c>
      <c r="J13" s="13" t="n">
        <v>2200</v>
      </c>
      <c r="K13" s="13" t="n">
        <f aca="false">G13*J13</f>
        <v>6600</v>
      </c>
      <c r="L13" s="13" t="n">
        <f aca="false">K13*F13</f>
        <v>6600</v>
      </c>
      <c r="M13" s="8" t="s">
        <v>42</v>
      </c>
      <c r="N13" s="9" t="s">
        <v>309</v>
      </c>
      <c r="O13" s="9" t="s">
        <v>61</v>
      </c>
    </row>
    <row r="14" customFormat="false" ht="23.85" hidden="false" customHeight="false" outlineLevel="0" collapsed="false">
      <c r="A14" s="8" t="n">
        <v>9</v>
      </c>
      <c r="B14" s="9" t="s">
        <v>310</v>
      </c>
      <c r="C14" s="9" t="s">
        <v>311</v>
      </c>
      <c r="D14" s="9" t="s">
        <v>312</v>
      </c>
      <c r="E14" s="10" t="s">
        <v>54</v>
      </c>
      <c r="F14" s="11" t="n">
        <v>1</v>
      </c>
      <c r="G14" s="8" t="n">
        <v>12</v>
      </c>
      <c r="H14" s="12" t="n">
        <v>300</v>
      </c>
      <c r="I14" s="12" t="n">
        <f aca="false">G14*H14</f>
        <v>3600</v>
      </c>
      <c r="J14" s="13" t="n">
        <v>400</v>
      </c>
      <c r="K14" s="13" t="n">
        <f aca="false">G14*J14</f>
        <v>4800</v>
      </c>
      <c r="L14" s="13" t="n">
        <f aca="false">K14*F14</f>
        <v>4800</v>
      </c>
      <c r="M14" s="8" t="s">
        <v>74</v>
      </c>
      <c r="N14" s="9" t="s">
        <v>313</v>
      </c>
      <c r="O14" s="9" t="s">
        <v>61</v>
      </c>
    </row>
    <row r="15" customFormat="false" ht="15" hidden="false" customHeight="false" outlineLevel="0" collapsed="false">
      <c r="B15" s="16" t="s">
        <v>274</v>
      </c>
      <c r="F15" s="17" t="n">
        <f aca="false">L15/K15</f>
        <v>1</v>
      </c>
      <c r="I15" s="18" t="n">
        <f aca="false">SUM(I5:I14)</f>
        <v>45100</v>
      </c>
      <c r="K15" s="19" t="n">
        <f aca="false">SUM(K5:K14)</f>
        <v>40880</v>
      </c>
      <c r="L15" s="19" t="n">
        <f aca="false">SUM(L5:L14)</f>
        <v>40880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54"/>
    <col collapsed="false" customWidth="true" hidden="false" outlineLevel="0" max="15" min="15" style="0" width="44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3" customFormat="false" ht="31.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</row>
    <row r="4" customFormat="false" ht="15" hidden="false" customHeight="false" outlineLevel="0" collapsed="false">
      <c r="A4" s="6" t="s">
        <v>316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35.05" hidden="false" customHeight="false" outlineLevel="0" collapsed="false">
      <c r="A5" s="8" t="n">
        <v>1</v>
      </c>
      <c r="B5" s="9" t="s">
        <v>317</v>
      </c>
      <c r="C5" s="9" t="s">
        <v>318</v>
      </c>
      <c r="D5" s="9" t="s">
        <v>319</v>
      </c>
      <c r="E5" s="14" t="s">
        <v>123</v>
      </c>
      <c r="F5" s="11" t="n">
        <v>0.25</v>
      </c>
      <c r="G5" s="8" t="n">
        <v>1</v>
      </c>
      <c r="H5" s="12" t="n">
        <v>2200</v>
      </c>
      <c r="I5" s="12" t="n">
        <f aca="false">G5*H5</f>
        <v>2200</v>
      </c>
      <c r="J5" s="13" t="n">
        <v>105000</v>
      </c>
      <c r="K5" s="13" t="n">
        <f aca="false">G5*J5</f>
        <v>105000</v>
      </c>
      <c r="L5" s="13" t="n">
        <f aca="false">K5*F5</f>
        <v>26250</v>
      </c>
      <c r="M5" s="8" t="s">
        <v>42</v>
      </c>
      <c r="N5" s="9" t="s">
        <v>320</v>
      </c>
      <c r="O5" s="9" t="s">
        <v>321</v>
      </c>
    </row>
    <row r="6" customFormat="false" ht="23.85" hidden="false" customHeight="false" outlineLevel="0" collapsed="false">
      <c r="A6" s="8" t="n">
        <v>2</v>
      </c>
      <c r="B6" s="9" t="s">
        <v>322</v>
      </c>
      <c r="C6" s="9" t="s">
        <v>323</v>
      </c>
      <c r="D6" s="9" t="s">
        <v>324</v>
      </c>
      <c r="E6" s="14" t="s">
        <v>123</v>
      </c>
      <c r="F6" s="11" t="n">
        <v>0.25</v>
      </c>
      <c r="G6" s="8" t="n">
        <v>1</v>
      </c>
      <c r="H6" s="12" t="n">
        <v>2200</v>
      </c>
      <c r="I6" s="12" t="n">
        <f aca="false">G6*H6</f>
        <v>2200</v>
      </c>
      <c r="J6" s="13" t="n">
        <v>85000</v>
      </c>
      <c r="K6" s="13" t="n">
        <f aca="false">G6*J6</f>
        <v>85000</v>
      </c>
      <c r="L6" s="13" t="n">
        <f aca="false">K6*F6</f>
        <v>21250</v>
      </c>
      <c r="M6" s="8" t="s">
        <v>42</v>
      </c>
      <c r="N6" s="9" t="s">
        <v>325</v>
      </c>
      <c r="O6" s="9" t="s">
        <v>61</v>
      </c>
    </row>
    <row r="7" customFormat="false" ht="23.85" hidden="false" customHeight="false" outlineLevel="0" collapsed="false">
      <c r="A7" s="8" t="n">
        <v>3</v>
      </c>
      <c r="B7" s="9" t="s">
        <v>326</v>
      </c>
      <c r="C7" s="9" t="s">
        <v>327</v>
      </c>
      <c r="D7" s="9" t="s">
        <v>328</v>
      </c>
      <c r="E7" s="14" t="s">
        <v>123</v>
      </c>
      <c r="F7" s="11" t="n">
        <v>0.5</v>
      </c>
      <c r="G7" s="8" t="n">
        <v>1</v>
      </c>
      <c r="H7" s="12" t="n">
        <v>1500</v>
      </c>
      <c r="I7" s="12" t="n">
        <f aca="false">G7*H7</f>
        <v>1500</v>
      </c>
      <c r="J7" s="13" t="n">
        <v>20000</v>
      </c>
      <c r="K7" s="13" t="n">
        <f aca="false">G7*J7</f>
        <v>20000</v>
      </c>
      <c r="L7" s="13" t="n">
        <f aca="false">K7*F7</f>
        <v>10000</v>
      </c>
      <c r="M7" s="8" t="s">
        <v>42</v>
      </c>
      <c r="N7" s="9" t="s">
        <v>329</v>
      </c>
      <c r="O7" s="9" t="s">
        <v>330</v>
      </c>
    </row>
    <row r="8" customFormat="false" ht="15" hidden="false" customHeight="false" outlineLevel="0" collapsed="false">
      <c r="A8" s="6" t="s">
        <v>331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23.85" hidden="false" customHeight="false" outlineLevel="0" collapsed="false">
      <c r="A9" s="8" t="n">
        <v>4</v>
      </c>
      <c r="B9" s="9" t="s">
        <v>332</v>
      </c>
      <c r="C9" s="9" t="s">
        <v>333</v>
      </c>
      <c r="D9" s="9" t="s">
        <v>334</v>
      </c>
      <c r="E9" s="14" t="s">
        <v>123</v>
      </c>
      <c r="F9" s="11" t="n">
        <v>0.4</v>
      </c>
      <c r="G9" s="8" t="n">
        <v>1</v>
      </c>
      <c r="H9" s="12" t="n">
        <v>450</v>
      </c>
      <c r="I9" s="12" t="n">
        <f aca="false">G9*H9</f>
        <v>450</v>
      </c>
      <c r="J9" s="13" t="n">
        <v>8000</v>
      </c>
      <c r="K9" s="13" t="n">
        <f aca="false">G9*J9</f>
        <v>8000</v>
      </c>
      <c r="L9" s="13" t="n">
        <f aca="false">K9*F9</f>
        <v>3200</v>
      </c>
      <c r="M9" s="8" t="s">
        <v>48</v>
      </c>
      <c r="N9" s="9" t="s">
        <v>335</v>
      </c>
      <c r="O9" s="9" t="s">
        <v>336</v>
      </c>
    </row>
    <row r="10" customFormat="false" ht="23.85" hidden="false" customHeight="false" outlineLevel="0" collapsed="false">
      <c r="A10" s="8" t="n">
        <v>5</v>
      </c>
      <c r="B10" s="9" t="s">
        <v>337</v>
      </c>
      <c r="C10" s="9" t="s">
        <v>338</v>
      </c>
      <c r="D10" s="9" t="s">
        <v>339</v>
      </c>
      <c r="E10" s="10" t="s">
        <v>41</v>
      </c>
      <c r="F10" s="11" t="n">
        <v>0.7</v>
      </c>
      <c r="G10" s="8" t="n">
        <v>2</v>
      </c>
      <c r="H10" s="12" t="n">
        <v>320</v>
      </c>
      <c r="I10" s="12" t="n">
        <f aca="false">G10*H10</f>
        <v>640</v>
      </c>
      <c r="J10" s="13" t="n">
        <v>3800</v>
      </c>
      <c r="K10" s="13" t="n">
        <f aca="false">G10*J10</f>
        <v>7600</v>
      </c>
      <c r="L10" s="13" t="n">
        <f aca="false">K10*F10</f>
        <v>5320</v>
      </c>
      <c r="M10" s="8" t="s">
        <v>42</v>
      </c>
      <c r="N10" s="9" t="s">
        <v>340</v>
      </c>
      <c r="O10" s="9" t="s">
        <v>341</v>
      </c>
    </row>
    <row r="11" customFormat="false" ht="23.85" hidden="false" customHeight="false" outlineLevel="0" collapsed="false">
      <c r="A11" s="8" t="n">
        <v>6</v>
      </c>
      <c r="B11" s="9" t="s">
        <v>342</v>
      </c>
      <c r="C11" s="9" t="s">
        <v>343</v>
      </c>
      <c r="D11" s="9" t="s">
        <v>344</v>
      </c>
      <c r="E11" s="10" t="s">
        <v>54</v>
      </c>
      <c r="F11" s="11" t="n">
        <v>1</v>
      </c>
      <c r="G11" s="8" t="n">
        <v>1</v>
      </c>
      <c r="H11" s="12" t="n">
        <v>3500</v>
      </c>
      <c r="I11" s="12" t="n">
        <f aca="false">G11*H11</f>
        <v>3500</v>
      </c>
      <c r="J11" s="13" t="n">
        <v>5500</v>
      </c>
      <c r="K11" s="13" t="n">
        <f aca="false">G11*J11</f>
        <v>5500</v>
      </c>
      <c r="L11" s="13" t="n">
        <f aca="false">K11*F11</f>
        <v>5500</v>
      </c>
      <c r="M11" s="8" t="s">
        <v>42</v>
      </c>
      <c r="N11" s="9" t="s">
        <v>345</v>
      </c>
      <c r="O11" s="9" t="s">
        <v>265</v>
      </c>
    </row>
    <row r="12" customFormat="false" ht="15" hidden="false" customHeight="false" outlineLevel="0" collapsed="false">
      <c r="A12" s="8" t="n">
        <v>7</v>
      </c>
      <c r="B12" s="9" t="s">
        <v>346</v>
      </c>
      <c r="C12" s="9" t="s">
        <v>347</v>
      </c>
      <c r="D12" s="9" t="s">
        <v>348</v>
      </c>
      <c r="E12" s="10" t="s">
        <v>41</v>
      </c>
      <c r="F12" s="11" t="n">
        <v>0.6</v>
      </c>
      <c r="G12" s="8" t="n">
        <v>2</v>
      </c>
      <c r="H12" s="12" t="n">
        <v>220</v>
      </c>
      <c r="I12" s="12" t="n">
        <f aca="false">G12*H12</f>
        <v>440</v>
      </c>
      <c r="J12" s="13" t="n">
        <v>1500</v>
      </c>
      <c r="K12" s="13" t="n">
        <f aca="false">G12*J12</f>
        <v>3000</v>
      </c>
      <c r="L12" s="13" t="n">
        <f aca="false">K12*F12</f>
        <v>1800</v>
      </c>
      <c r="M12" s="8" t="s">
        <v>42</v>
      </c>
      <c r="N12" s="9" t="s">
        <v>349</v>
      </c>
      <c r="O12" s="9" t="s">
        <v>61</v>
      </c>
    </row>
    <row r="13" customFormat="false" ht="15" hidden="false" customHeight="false" outlineLevel="0" collapsed="false">
      <c r="A13" s="6" t="s">
        <v>350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46.25" hidden="false" customHeight="false" outlineLevel="0" collapsed="false">
      <c r="A14" s="8" t="n">
        <v>8</v>
      </c>
      <c r="B14" s="9" t="s">
        <v>351</v>
      </c>
      <c r="C14" s="9" t="s">
        <v>352</v>
      </c>
      <c r="D14" s="9" t="s">
        <v>353</v>
      </c>
      <c r="E14" s="10" t="s">
        <v>41</v>
      </c>
      <c r="F14" s="11" t="n">
        <v>0.6</v>
      </c>
      <c r="G14" s="8" t="n">
        <v>1</v>
      </c>
      <c r="H14" s="12" t="n">
        <v>600</v>
      </c>
      <c r="I14" s="12" t="n">
        <f aca="false">G14*H14</f>
        <v>600</v>
      </c>
      <c r="J14" s="13" t="n">
        <v>38000</v>
      </c>
      <c r="K14" s="13" t="n">
        <f aca="false">G14*J14</f>
        <v>38000</v>
      </c>
      <c r="L14" s="13" t="n">
        <f aca="false">K14*F14</f>
        <v>22800</v>
      </c>
      <c r="M14" s="8" t="s">
        <v>354</v>
      </c>
      <c r="N14" s="9" t="s">
        <v>355</v>
      </c>
      <c r="O14" s="9" t="s">
        <v>356</v>
      </c>
    </row>
    <row r="15" customFormat="false" ht="23.85" hidden="false" customHeight="false" outlineLevel="0" collapsed="false">
      <c r="A15" s="8" t="n">
        <v>9</v>
      </c>
      <c r="B15" s="9" t="s">
        <v>357</v>
      </c>
      <c r="C15" s="9" t="s">
        <v>358</v>
      </c>
      <c r="D15" s="9" t="s">
        <v>359</v>
      </c>
      <c r="E15" s="10" t="s">
        <v>54</v>
      </c>
      <c r="F15" s="11" t="n">
        <v>1</v>
      </c>
      <c r="G15" s="8" t="n">
        <v>1</v>
      </c>
      <c r="H15" s="12" t="n">
        <v>3500</v>
      </c>
      <c r="I15" s="12" t="n">
        <f aca="false">G15*H15</f>
        <v>3500</v>
      </c>
      <c r="J15" s="13" t="n">
        <v>9500</v>
      </c>
      <c r="K15" s="13" t="n">
        <f aca="false">G15*J15</f>
        <v>9500</v>
      </c>
      <c r="L15" s="13" t="n">
        <f aca="false">K15*F15</f>
        <v>9500</v>
      </c>
      <c r="M15" s="8" t="s">
        <v>42</v>
      </c>
      <c r="N15" s="9" t="s">
        <v>360</v>
      </c>
      <c r="O15" s="9" t="s">
        <v>61</v>
      </c>
    </row>
    <row r="16" customFormat="false" ht="15" hidden="false" customHeight="false" outlineLevel="0" collapsed="false">
      <c r="A16" s="8" t="n">
        <v>10</v>
      </c>
      <c r="B16" s="9" t="s">
        <v>361</v>
      </c>
      <c r="C16" s="9" t="s">
        <v>362</v>
      </c>
      <c r="D16" s="9" t="s">
        <v>363</v>
      </c>
      <c r="E16" s="14" t="s">
        <v>123</v>
      </c>
      <c r="F16" s="11" t="n">
        <v>0.4</v>
      </c>
      <c r="G16" s="8" t="n">
        <v>1</v>
      </c>
      <c r="H16" s="12" t="n">
        <v>150</v>
      </c>
      <c r="I16" s="12" t="n">
        <f aca="false">G16*H16</f>
        <v>150</v>
      </c>
      <c r="J16" s="13" t="n">
        <v>7500</v>
      </c>
      <c r="K16" s="13" t="n">
        <f aca="false">G16*J16</f>
        <v>7500</v>
      </c>
      <c r="L16" s="13" t="n">
        <f aca="false">K16*F16</f>
        <v>3000</v>
      </c>
      <c r="M16" s="8" t="s">
        <v>48</v>
      </c>
      <c r="N16" s="9" t="s">
        <v>364</v>
      </c>
      <c r="O16" s="9" t="s">
        <v>61</v>
      </c>
    </row>
    <row r="17" customFormat="false" ht="15" hidden="false" customHeight="false" outlineLevel="0" collapsed="false">
      <c r="A17" s="6" t="s">
        <v>365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customFormat="false" ht="23.85" hidden="false" customHeight="false" outlineLevel="0" collapsed="false">
      <c r="A18" s="8" t="n">
        <v>11</v>
      </c>
      <c r="B18" s="9" t="s">
        <v>366</v>
      </c>
      <c r="C18" s="9" t="s">
        <v>367</v>
      </c>
      <c r="D18" s="9" t="s">
        <v>368</v>
      </c>
      <c r="E18" s="10" t="s">
        <v>54</v>
      </c>
      <c r="F18" s="11" t="n">
        <v>0.8</v>
      </c>
      <c r="G18" s="8" t="n">
        <v>1</v>
      </c>
      <c r="H18" s="12" t="n">
        <v>18000</v>
      </c>
      <c r="I18" s="12" t="n">
        <f aca="false">G18*H18</f>
        <v>18000</v>
      </c>
      <c r="J18" s="13" t="n">
        <v>80000</v>
      </c>
      <c r="K18" s="13" t="n">
        <f aca="false">G18*J18</f>
        <v>80000</v>
      </c>
      <c r="L18" s="13" t="n">
        <f aca="false">K18*F18</f>
        <v>64000</v>
      </c>
      <c r="M18" s="8" t="s">
        <v>42</v>
      </c>
      <c r="N18" s="9" t="s">
        <v>369</v>
      </c>
      <c r="O18" s="9" t="s">
        <v>370</v>
      </c>
    </row>
    <row r="19" customFormat="false" ht="23.85" hidden="false" customHeight="false" outlineLevel="0" collapsed="false">
      <c r="A19" s="8" t="n">
        <v>12</v>
      </c>
      <c r="B19" s="9" t="s">
        <v>371</v>
      </c>
      <c r="C19" s="9" t="s">
        <v>372</v>
      </c>
      <c r="D19" s="9" t="s">
        <v>373</v>
      </c>
      <c r="E19" s="10" t="s">
        <v>54</v>
      </c>
      <c r="F19" s="11" t="n">
        <v>0.9</v>
      </c>
      <c r="G19" s="8" t="n">
        <v>1</v>
      </c>
      <c r="H19" s="12" t="n">
        <v>6000</v>
      </c>
      <c r="I19" s="12" t="n">
        <f aca="false">G19*H19</f>
        <v>6000</v>
      </c>
      <c r="J19" s="13" t="n">
        <v>15000</v>
      </c>
      <c r="K19" s="13" t="n">
        <f aca="false">G19*J19</f>
        <v>15000</v>
      </c>
      <c r="L19" s="13" t="n">
        <f aca="false">K19*F19</f>
        <v>13500</v>
      </c>
      <c r="M19" s="8" t="s">
        <v>42</v>
      </c>
      <c r="N19" s="9" t="s">
        <v>374</v>
      </c>
      <c r="O19" s="9" t="s">
        <v>375</v>
      </c>
    </row>
    <row r="20" customFormat="false" ht="15" hidden="false" customHeight="false" outlineLevel="0" collapsed="false">
      <c r="A20" s="8" t="n">
        <v>13</v>
      </c>
      <c r="B20" s="9" t="s">
        <v>376</v>
      </c>
      <c r="C20" s="9" t="s">
        <v>377</v>
      </c>
      <c r="D20" s="9" t="s">
        <v>272</v>
      </c>
      <c r="E20" s="10" t="s">
        <v>54</v>
      </c>
      <c r="F20" s="11" t="n">
        <v>1</v>
      </c>
      <c r="G20" s="8" t="n">
        <v>1</v>
      </c>
      <c r="H20" s="12" t="n">
        <v>12000</v>
      </c>
      <c r="I20" s="12" t="n">
        <f aca="false">G20*H20</f>
        <v>12000</v>
      </c>
      <c r="J20" s="13" t="n">
        <v>8000</v>
      </c>
      <c r="K20" s="13" t="n">
        <f aca="false">G20*J20</f>
        <v>8000</v>
      </c>
      <c r="L20" s="13" t="n">
        <f aca="false">K20*F20</f>
        <v>8000</v>
      </c>
      <c r="M20" s="8" t="s">
        <v>74</v>
      </c>
      <c r="N20" s="9" t="s">
        <v>378</v>
      </c>
      <c r="O20" s="9" t="s">
        <v>61</v>
      </c>
    </row>
    <row r="21" customFormat="false" ht="23.85" hidden="false" customHeight="false" outlineLevel="0" collapsed="false">
      <c r="A21" s="8" t="n">
        <v>14</v>
      </c>
      <c r="B21" s="9" t="s">
        <v>379</v>
      </c>
      <c r="C21" s="9" t="s">
        <v>380</v>
      </c>
      <c r="D21" s="9" t="s">
        <v>308</v>
      </c>
      <c r="E21" s="10" t="s">
        <v>54</v>
      </c>
      <c r="F21" s="11" t="n">
        <v>1</v>
      </c>
      <c r="G21" s="8" t="n">
        <v>1</v>
      </c>
      <c r="H21" s="12" t="n">
        <v>4500</v>
      </c>
      <c r="I21" s="12" t="n">
        <f aca="false">G21*H21</f>
        <v>4500</v>
      </c>
      <c r="J21" s="13" t="n">
        <v>6500</v>
      </c>
      <c r="K21" s="13" t="n">
        <f aca="false">G21*J21</f>
        <v>6500</v>
      </c>
      <c r="L21" s="13" t="n">
        <f aca="false">K21*F21</f>
        <v>6500</v>
      </c>
      <c r="M21" s="8" t="s">
        <v>42</v>
      </c>
      <c r="N21" s="9" t="s">
        <v>381</v>
      </c>
      <c r="O21" s="9" t="s">
        <v>61</v>
      </c>
    </row>
    <row r="22" customFormat="false" ht="23.85" hidden="false" customHeight="false" outlineLevel="0" collapsed="false">
      <c r="A22" s="8" t="n">
        <v>15</v>
      </c>
      <c r="B22" s="9" t="s">
        <v>382</v>
      </c>
      <c r="C22" s="9" t="s">
        <v>383</v>
      </c>
      <c r="D22" s="9" t="s">
        <v>384</v>
      </c>
      <c r="E22" s="14" t="s">
        <v>123</v>
      </c>
      <c r="F22" s="11" t="n">
        <v>0.4</v>
      </c>
      <c r="G22" s="8" t="n">
        <v>1</v>
      </c>
      <c r="H22" s="12" t="n">
        <v>400</v>
      </c>
      <c r="I22" s="12" t="n">
        <f aca="false">G22*H22</f>
        <v>400</v>
      </c>
      <c r="J22" s="13" t="n">
        <v>4000</v>
      </c>
      <c r="K22" s="13" t="n">
        <f aca="false">G22*J22</f>
        <v>4000</v>
      </c>
      <c r="L22" s="13" t="n">
        <f aca="false">K22*F22</f>
        <v>1600</v>
      </c>
      <c r="M22" s="8" t="s">
        <v>74</v>
      </c>
      <c r="N22" s="9" t="s">
        <v>385</v>
      </c>
      <c r="O22" s="9" t="s">
        <v>386</v>
      </c>
    </row>
    <row r="23" customFormat="false" ht="23.85" hidden="false" customHeight="false" outlineLevel="0" collapsed="false">
      <c r="A23" s="8" t="n">
        <v>16</v>
      </c>
      <c r="B23" s="9" t="s">
        <v>387</v>
      </c>
      <c r="C23" s="9" t="s">
        <v>388</v>
      </c>
      <c r="D23" s="9" t="s">
        <v>389</v>
      </c>
      <c r="E23" s="10" t="s">
        <v>54</v>
      </c>
      <c r="F23" s="11" t="n">
        <v>0.9</v>
      </c>
      <c r="G23" s="8" t="n">
        <v>4</v>
      </c>
      <c r="H23" s="12" t="n">
        <v>7000</v>
      </c>
      <c r="I23" s="12" t="n">
        <f aca="false">G23*H23</f>
        <v>28000</v>
      </c>
      <c r="J23" s="13" t="n">
        <v>16000</v>
      </c>
      <c r="K23" s="13" t="n">
        <f aca="false">G23*J23</f>
        <v>64000</v>
      </c>
      <c r="L23" s="13" t="n">
        <f aca="false">K23*F23</f>
        <v>57600</v>
      </c>
      <c r="M23" s="8" t="s">
        <v>48</v>
      </c>
      <c r="N23" s="9" t="s">
        <v>390</v>
      </c>
      <c r="O23" s="9" t="s">
        <v>61</v>
      </c>
    </row>
    <row r="24" customFormat="false" ht="15" hidden="false" customHeight="false" outlineLevel="0" collapsed="false">
      <c r="A24" s="6" t="s">
        <v>391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customFormat="false" ht="15" hidden="false" customHeight="false" outlineLevel="0" collapsed="false">
      <c r="A25" s="8" t="n">
        <v>17</v>
      </c>
      <c r="B25" s="9" t="s">
        <v>392</v>
      </c>
      <c r="C25" s="9" t="s">
        <v>393</v>
      </c>
      <c r="D25" s="9" t="s">
        <v>394</v>
      </c>
      <c r="E25" s="10" t="s">
        <v>41</v>
      </c>
      <c r="F25" s="11" t="n">
        <v>0.6</v>
      </c>
      <c r="G25" s="8" t="n">
        <v>6</v>
      </c>
      <c r="H25" s="12" t="n">
        <v>300</v>
      </c>
      <c r="I25" s="12" t="n">
        <f aca="false">G25*H25</f>
        <v>1800</v>
      </c>
      <c r="J25" s="13" t="n">
        <v>1000</v>
      </c>
      <c r="K25" s="13" t="n">
        <f aca="false">G25*J25</f>
        <v>6000</v>
      </c>
      <c r="L25" s="13" t="n">
        <f aca="false">K25*F25</f>
        <v>3600</v>
      </c>
      <c r="M25" s="8" t="s">
        <v>74</v>
      </c>
      <c r="N25" s="9" t="s">
        <v>395</v>
      </c>
      <c r="O25" s="9" t="s">
        <v>61</v>
      </c>
    </row>
    <row r="26" customFormat="false" ht="23.85" hidden="false" customHeight="false" outlineLevel="0" collapsed="false">
      <c r="A26" s="8" t="n">
        <v>18</v>
      </c>
      <c r="B26" s="9" t="s">
        <v>396</v>
      </c>
      <c r="C26" s="9" t="s">
        <v>397</v>
      </c>
      <c r="D26" s="9" t="s">
        <v>398</v>
      </c>
      <c r="E26" s="10" t="s">
        <v>54</v>
      </c>
      <c r="F26" s="11" t="n">
        <v>1</v>
      </c>
      <c r="G26" s="8" t="n">
        <v>2</v>
      </c>
      <c r="H26" s="12" t="n">
        <v>5000</v>
      </c>
      <c r="I26" s="12" t="n">
        <f aca="false">G26*H26</f>
        <v>10000</v>
      </c>
      <c r="J26" s="13" t="n">
        <v>5500</v>
      </c>
      <c r="K26" s="13" t="n">
        <f aca="false">G26*J26</f>
        <v>11000</v>
      </c>
      <c r="L26" s="13" t="n">
        <f aca="false">K26*F26</f>
        <v>11000</v>
      </c>
      <c r="M26" s="8" t="s">
        <v>74</v>
      </c>
      <c r="N26" s="9" t="s">
        <v>399</v>
      </c>
      <c r="O26" s="9" t="s">
        <v>400</v>
      </c>
    </row>
    <row r="27" customFormat="false" ht="23.85" hidden="false" customHeight="false" outlineLevel="0" collapsed="false">
      <c r="A27" s="8" t="n">
        <v>19</v>
      </c>
      <c r="B27" s="9" t="s">
        <v>401</v>
      </c>
      <c r="C27" s="9" t="s">
        <v>402</v>
      </c>
      <c r="D27" s="9" t="s">
        <v>403</v>
      </c>
      <c r="E27" s="10" t="s">
        <v>54</v>
      </c>
      <c r="F27" s="11" t="n">
        <v>1</v>
      </c>
      <c r="G27" s="8" t="n">
        <v>1</v>
      </c>
      <c r="H27" s="12" t="n">
        <v>1500</v>
      </c>
      <c r="I27" s="12" t="n">
        <f aca="false">G27*H27</f>
        <v>1500</v>
      </c>
      <c r="J27" s="13" t="n">
        <v>3000</v>
      </c>
      <c r="K27" s="13" t="n">
        <f aca="false">G27*J27</f>
        <v>3000</v>
      </c>
      <c r="L27" s="13" t="n">
        <f aca="false">K27*F27</f>
        <v>3000</v>
      </c>
      <c r="M27" s="8" t="s">
        <v>74</v>
      </c>
      <c r="N27" s="9" t="s">
        <v>404</v>
      </c>
      <c r="O27" s="9" t="s">
        <v>61</v>
      </c>
    </row>
    <row r="28" customFormat="false" ht="15" hidden="false" customHeight="false" outlineLevel="0" collapsed="false">
      <c r="A28" s="8" t="n">
        <v>20</v>
      </c>
      <c r="B28" s="9" t="s">
        <v>405</v>
      </c>
      <c r="C28" s="9" t="s">
        <v>406</v>
      </c>
      <c r="D28" s="9" t="s">
        <v>407</v>
      </c>
      <c r="E28" s="10" t="s">
        <v>54</v>
      </c>
      <c r="F28" s="11" t="n">
        <v>1</v>
      </c>
      <c r="G28" s="8" t="n">
        <v>5</v>
      </c>
      <c r="H28" s="12" t="n">
        <v>200</v>
      </c>
      <c r="I28" s="12" t="n">
        <f aca="false">G28*H28</f>
        <v>1000</v>
      </c>
      <c r="J28" s="13" t="n">
        <v>500</v>
      </c>
      <c r="K28" s="13" t="n">
        <f aca="false">G28*J28</f>
        <v>2500</v>
      </c>
      <c r="L28" s="13" t="n">
        <f aca="false">K28*F28</f>
        <v>2500</v>
      </c>
      <c r="M28" s="8" t="s">
        <v>74</v>
      </c>
      <c r="N28" s="9" t="s">
        <v>408</v>
      </c>
      <c r="O28" s="9" t="s">
        <v>61</v>
      </c>
    </row>
    <row r="29" customFormat="false" ht="23.85" hidden="false" customHeight="false" outlineLevel="0" collapsed="false">
      <c r="A29" s="8" t="n">
        <v>21</v>
      </c>
      <c r="B29" s="9" t="s">
        <v>409</v>
      </c>
      <c r="C29" s="9" t="s">
        <v>410</v>
      </c>
      <c r="D29" s="9" t="s">
        <v>411</v>
      </c>
      <c r="E29" s="14" t="s">
        <v>123</v>
      </c>
      <c r="F29" s="11" t="n">
        <v>0.4</v>
      </c>
      <c r="G29" s="8" t="n">
        <v>1</v>
      </c>
      <c r="H29" s="12" t="n">
        <v>700</v>
      </c>
      <c r="I29" s="12" t="n">
        <f aca="false">G29*H29</f>
        <v>700</v>
      </c>
      <c r="J29" s="13" t="n">
        <v>16000</v>
      </c>
      <c r="K29" s="13" t="n">
        <f aca="false">G29*J29</f>
        <v>16000</v>
      </c>
      <c r="L29" s="13" t="n">
        <f aca="false">K29*F29</f>
        <v>6400</v>
      </c>
      <c r="M29" s="8" t="s">
        <v>42</v>
      </c>
      <c r="N29" s="9" t="s">
        <v>412</v>
      </c>
      <c r="O29" s="9" t="s">
        <v>61</v>
      </c>
    </row>
    <row r="30" customFormat="false" ht="23.85" hidden="false" customHeight="false" outlineLevel="0" collapsed="false">
      <c r="A30" s="8" t="n">
        <v>22</v>
      </c>
      <c r="B30" s="9" t="s">
        <v>413</v>
      </c>
      <c r="C30" s="9" t="s">
        <v>414</v>
      </c>
      <c r="D30" s="9" t="s">
        <v>272</v>
      </c>
      <c r="E30" s="10" t="s">
        <v>54</v>
      </c>
      <c r="F30" s="11" t="n">
        <v>1</v>
      </c>
      <c r="G30" s="8" t="n">
        <v>1</v>
      </c>
      <c r="H30" s="12" t="n">
        <v>2000</v>
      </c>
      <c r="I30" s="12" t="n">
        <f aca="false">G30*H30</f>
        <v>2000</v>
      </c>
      <c r="J30" s="13" t="n">
        <v>1200</v>
      </c>
      <c r="K30" s="13" t="n">
        <f aca="false">G30*J30</f>
        <v>1200</v>
      </c>
      <c r="L30" s="13" t="n">
        <f aca="false">K30*F30</f>
        <v>1200</v>
      </c>
      <c r="M30" s="8" t="s">
        <v>74</v>
      </c>
      <c r="N30" s="9" t="s">
        <v>415</v>
      </c>
      <c r="O30" s="9" t="s">
        <v>61</v>
      </c>
    </row>
    <row r="31" customFormat="false" ht="15" hidden="false" customHeight="false" outlineLevel="0" collapsed="false">
      <c r="B31" s="16" t="s">
        <v>274</v>
      </c>
      <c r="F31" s="17" t="n">
        <f aca="false">L31/K31</f>
        <v>0.567884653367569</v>
      </c>
      <c r="I31" s="18" t="n">
        <f aca="false">SUM(I5:I30)</f>
        <v>101080</v>
      </c>
      <c r="K31" s="19" t="n">
        <f aca="false">SUM(K5:K30)</f>
        <v>506300</v>
      </c>
      <c r="L31" s="19" t="n">
        <f aca="false">SUM(L5:L30)</f>
        <v>287520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54"/>
    <col collapsed="false" customWidth="true" hidden="false" outlineLevel="0" max="15" min="15" style="0" width="44"/>
  </cols>
  <sheetData>
    <row r="1" customFormat="false" ht="17.35" hidden="false" customHeight="false" outlineLevel="0" collapsed="false">
      <c r="A1" s="1" t="s">
        <v>416</v>
      </c>
    </row>
    <row r="2" customFormat="false" ht="15" hidden="false" customHeight="false" outlineLevel="0" collapsed="false">
      <c r="A2" s="2" t="s">
        <v>417</v>
      </c>
    </row>
    <row r="3" customFormat="false" ht="31.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</row>
    <row r="4" customFormat="false" ht="15" hidden="false" customHeight="false" outlineLevel="0" collapsed="false">
      <c r="A4" s="6" t="s">
        <v>418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46.25" hidden="false" customHeight="false" outlineLevel="0" collapsed="false">
      <c r="A5" s="8" t="n">
        <v>1</v>
      </c>
      <c r="B5" s="9" t="s">
        <v>419</v>
      </c>
      <c r="C5" s="9" t="s">
        <v>420</v>
      </c>
      <c r="D5" s="9" t="s">
        <v>421</v>
      </c>
      <c r="E5" s="10" t="s">
        <v>54</v>
      </c>
      <c r="F5" s="11" t="n">
        <v>0.85</v>
      </c>
      <c r="G5" s="8" t="n">
        <v>1</v>
      </c>
      <c r="H5" s="12" t="n">
        <v>3000</v>
      </c>
      <c r="I5" s="12" t="n">
        <f aca="false">G5*H5</f>
        <v>3000</v>
      </c>
      <c r="J5" s="13" t="n">
        <v>45000</v>
      </c>
      <c r="K5" s="13" t="n">
        <f aca="false">G5*J5</f>
        <v>45000</v>
      </c>
      <c r="L5" s="13" t="n">
        <f aca="false">K5*F5</f>
        <v>38250</v>
      </c>
      <c r="M5" s="8" t="s">
        <v>354</v>
      </c>
      <c r="N5" s="9" t="s">
        <v>422</v>
      </c>
      <c r="O5" s="9" t="s">
        <v>423</v>
      </c>
    </row>
    <row r="6" customFormat="false" ht="23.85" hidden="false" customHeight="false" outlineLevel="0" collapsed="false">
      <c r="A6" s="8" t="n">
        <v>2</v>
      </c>
      <c r="B6" s="9" t="s">
        <v>424</v>
      </c>
      <c r="C6" s="9" t="s">
        <v>425</v>
      </c>
      <c r="D6" s="9" t="s">
        <v>426</v>
      </c>
      <c r="E6" s="10" t="s">
        <v>41</v>
      </c>
      <c r="F6" s="11" t="n">
        <v>0.5</v>
      </c>
      <c r="G6" s="8" t="n">
        <v>2</v>
      </c>
      <c r="H6" s="12" t="n">
        <v>180</v>
      </c>
      <c r="I6" s="12" t="n">
        <f aca="false">G6*H6</f>
        <v>360</v>
      </c>
      <c r="J6" s="13" t="n">
        <v>4000</v>
      </c>
      <c r="K6" s="13" t="n">
        <f aca="false">G6*J6</f>
        <v>8000</v>
      </c>
      <c r="L6" s="13" t="n">
        <f aca="false">K6*F6</f>
        <v>4000</v>
      </c>
      <c r="M6" s="8" t="s">
        <v>42</v>
      </c>
      <c r="N6" s="9" t="s">
        <v>427</v>
      </c>
      <c r="O6" s="9" t="s">
        <v>428</v>
      </c>
    </row>
    <row r="7" customFormat="false" ht="46.25" hidden="false" customHeight="false" outlineLevel="0" collapsed="false">
      <c r="A7" s="8" t="n">
        <v>3</v>
      </c>
      <c r="B7" s="9" t="s">
        <v>429</v>
      </c>
      <c r="C7" s="9" t="s">
        <v>430</v>
      </c>
      <c r="D7" s="9" t="s">
        <v>431</v>
      </c>
      <c r="E7" s="14" t="s">
        <v>123</v>
      </c>
      <c r="F7" s="11" t="n">
        <v>0.4</v>
      </c>
      <c r="G7" s="8" t="n">
        <v>2</v>
      </c>
      <c r="H7" s="12" t="n">
        <v>1200</v>
      </c>
      <c r="I7" s="12" t="n">
        <f aca="false">G7*H7</f>
        <v>2400</v>
      </c>
      <c r="J7" s="13" t="n">
        <v>26000</v>
      </c>
      <c r="K7" s="13" t="n">
        <f aca="false">G7*J7</f>
        <v>52000</v>
      </c>
      <c r="L7" s="13" t="n">
        <f aca="false">K7*F7</f>
        <v>20800</v>
      </c>
      <c r="M7" s="8" t="s">
        <v>48</v>
      </c>
      <c r="N7" s="9" t="s">
        <v>432</v>
      </c>
      <c r="O7" s="9" t="s">
        <v>433</v>
      </c>
    </row>
    <row r="8" customFormat="false" ht="23.85" hidden="false" customHeight="false" outlineLevel="0" collapsed="false">
      <c r="A8" s="8" t="n">
        <v>4</v>
      </c>
      <c r="B8" s="9" t="s">
        <v>434</v>
      </c>
      <c r="C8" s="9" t="s">
        <v>435</v>
      </c>
      <c r="D8" s="9" t="s">
        <v>436</v>
      </c>
      <c r="E8" s="10" t="s">
        <v>54</v>
      </c>
      <c r="F8" s="11" t="n">
        <v>0.8</v>
      </c>
      <c r="G8" s="8" t="n">
        <v>2</v>
      </c>
      <c r="H8" s="12" t="n">
        <v>1500</v>
      </c>
      <c r="I8" s="12" t="n">
        <f aca="false">G8*H8</f>
        <v>3000</v>
      </c>
      <c r="J8" s="13" t="n">
        <v>8000</v>
      </c>
      <c r="K8" s="13" t="n">
        <f aca="false">G8*J8</f>
        <v>16000</v>
      </c>
      <c r="L8" s="13" t="n">
        <f aca="false">K8*F8</f>
        <v>12800</v>
      </c>
      <c r="M8" s="8" t="s">
        <v>42</v>
      </c>
      <c r="N8" s="9" t="s">
        <v>437</v>
      </c>
      <c r="O8" s="9" t="s">
        <v>438</v>
      </c>
    </row>
    <row r="9" customFormat="false" ht="35.05" hidden="false" customHeight="false" outlineLevel="0" collapsed="false">
      <c r="A9" s="8" t="n">
        <v>5</v>
      </c>
      <c r="B9" s="9" t="s">
        <v>439</v>
      </c>
      <c r="C9" s="9" t="s">
        <v>440</v>
      </c>
      <c r="D9" s="9" t="s">
        <v>441</v>
      </c>
      <c r="E9" s="15" t="s">
        <v>159</v>
      </c>
      <c r="F9" s="11" t="n">
        <v>0.2</v>
      </c>
      <c r="G9" s="8" t="n">
        <v>1</v>
      </c>
      <c r="H9" s="12" t="n">
        <v>900</v>
      </c>
      <c r="I9" s="12" t="n">
        <f aca="false">G9*H9</f>
        <v>900</v>
      </c>
      <c r="J9" s="13" t="n">
        <v>13000</v>
      </c>
      <c r="K9" s="13" t="n">
        <f aca="false">G9*J9</f>
        <v>13000</v>
      </c>
      <c r="L9" s="13" t="n">
        <f aca="false">K9*F9</f>
        <v>2600</v>
      </c>
      <c r="M9" s="8" t="s">
        <v>48</v>
      </c>
      <c r="N9" s="9" t="s">
        <v>442</v>
      </c>
      <c r="O9" s="9" t="s">
        <v>443</v>
      </c>
    </row>
    <row r="10" customFormat="false" ht="23.85" hidden="false" customHeight="false" outlineLevel="0" collapsed="false">
      <c r="A10" s="8" t="n">
        <v>6</v>
      </c>
      <c r="B10" s="9" t="s">
        <v>444</v>
      </c>
      <c r="C10" s="9" t="s">
        <v>445</v>
      </c>
      <c r="D10" s="9" t="s">
        <v>446</v>
      </c>
      <c r="E10" s="14" t="s">
        <v>123</v>
      </c>
      <c r="F10" s="11" t="n">
        <v>0.4</v>
      </c>
      <c r="G10" s="8" t="n">
        <v>1</v>
      </c>
      <c r="H10" s="12" t="n">
        <v>3500</v>
      </c>
      <c r="I10" s="12" t="n">
        <f aca="false">G10*H10</f>
        <v>3500</v>
      </c>
      <c r="J10" s="13" t="n">
        <v>15000</v>
      </c>
      <c r="K10" s="13" t="n">
        <f aca="false">G10*J10</f>
        <v>15000</v>
      </c>
      <c r="L10" s="13" t="n">
        <f aca="false">K10*F10</f>
        <v>6000</v>
      </c>
      <c r="M10" s="8" t="s">
        <v>48</v>
      </c>
      <c r="N10" s="9" t="s">
        <v>447</v>
      </c>
      <c r="O10" s="9" t="s">
        <v>448</v>
      </c>
    </row>
    <row r="11" customFormat="false" ht="15" hidden="false" customHeight="false" outlineLevel="0" collapsed="false">
      <c r="A11" s="6" t="s">
        <v>449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23.85" hidden="false" customHeight="false" outlineLevel="0" collapsed="false">
      <c r="A12" s="8" t="n">
        <v>7</v>
      </c>
      <c r="B12" s="9" t="s">
        <v>450</v>
      </c>
      <c r="C12" s="9" t="s">
        <v>451</v>
      </c>
      <c r="D12" s="9" t="s">
        <v>452</v>
      </c>
      <c r="E12" s="10" t="s">
        <v>54</v>
      </c>
      <c r="F12" s="11" t="n">
        <v>0.9</v>
      </c>
      <c r="G12" s="8" t="n">
        <v>1</v>
      </c>
      <c r="H12" s="12" t="n">
        <v>2000</v>
      </c>
      <c r="I12" s="12" t="n">
        <f aca="false">G12*H12</f>
        <v>2000</v>
      </c>
      <c r="J12" s="13" t="n">
        <v>7000</v>
      </c>
      <c r="K12" s="13" t="n">
        <f aca="false">G12*J12</f>
        <v>7000</v>
      </c>
      <c r="L12" s="13" t="n">
        <f aca="false">K12*F12</f>
        <v>6300</v>
      </c>
      <c r="M12" s="8" t="s">
        <v>74</v>
      </c>
      <c r="N12" s="9" t="s">
        <v>453</v>
      </c>
      <c r="O12" s="9" t="s">
        <v>454</v>
      </c>
    </row>
    <row r="13" customFormat="false" ht="23.85" hidden="false" customHeight="false" outlineLevel="0" collapsed="false">
      <c r="A13" s="8" t="n">
        <v>8</v>
      </c>
      <c r="B13" s="9" t="s">
        <v>455</v>
      </c>
      <c r="C13" s="9" t="s">
        <v>456</v>
      </c>
      <c r="D13" s="9" t="s">
        <v>457</v>
      </c>
      <c r="E13" s="10" t="s">
        <v>54</v>
      </c>
      <c r="F13" s="11" t="n">
        <v>0.9</v>
      </c>
      <c r="G13" s="8" t="n">
        <v>1</v>
      </c>
      <c r="H13" s="12" t="n">
        <v>400</v>
      </c>
      <c r="I13" s="12" t="n">
        <f aca="false">G13*H13</f>
        <v>400</v>
      </c>
      <c r="J13" s="13" t="n">
        <v>4000</v>
      </c>
      <c r="K13" s="13" t="n">
        <f aca="false">G13*J13</f>
        <v>4000</v>
      </c>
      <c r="L13" s="13" t="n">
        <f aca="false">K13*F13</f>
        <v>3600</v>
      </c>
      <c r="M13" s="8" t="s">
        <v>74</v>
      </c>
      <c r="N13" s="9" t="s">
        <v>458</v>
      </c>
      <c r="O13" s="9" t="s">
        <v>265</v>
      </c>
    </row>
    <row r="14" customFormat="false" ht="23.85" hidden="false" customHeight="false" outlineLevel="0" collapsed="false">
      <c r="A14" s="8" t="n">
        <v>9</v>
      </c>
      <c r="B14" s="9" t="s">
        <v>459</v>
      </c>
      <c r="C14" s="9" t="s">
        <v>460</v>
      </c>
      <c r="D14" s="9" t="s">
        <v>461</v>
      </c>
      <c r="E14" s="10" t="s">
        <v>54</v>
      </c>
      <c r="F14" s="11" t="n">
        <v>0.8</v>
      </c>
      <c r="G14" s="8" t="n">
        <v>2</v>
      </c>
      <c r="H14" s="12" t="n">
        <v>300</v>
      </c>
      <c r="I14" s="12" t="n">
        <f aca="false">G14*H14</f>
        <v>600</v>
      </c>
      <c r="J14" s="13" t="n">
        <v>3200</v>
      </c>
      <c r="K14" s="13" t="n">
        <f aca="false">G14*J14</f>
        <v>6400</v>
      </c>
      <c r="L14" s="13" t="n">
        <f aca="false">K14*F14</f>
        <v>5120</v>
      </c>
      <c r="M14" s="8" t="s">
        <v>74</v>
      </c>
      <c r="N14" s="9" t="s">
        <v>462</v>
      </c>
      <c r="O14" s="9" t="s">
        <v>463</v>
      </c>
    </row>
    <row r="15" customFormat="false" ht="23.85" hidden="false" customHeight="false" outlineLevel="0" collapsed="false">
      <c r="A15" s="8" t="n">
        <v>10</v>
      </c>
      <c r="B15" s="9" t="s">
        <v>464</v>
      </c>
      <c r="C15" s="9" t="s">
        <v>465</v>
      </c>
      <c r="D15" s="9" t="s">
        <v>466</v>
      </c>
      <c r="E15" s="10" t="s">
        <v>41</v>
      </c>
      <c r="F15" s="11" t="n">
        <v>0.6</v>
      </c>
      <c r="G15" s="8" t="n">
        <v>1</v>
      </c>
      <c r="H15" s="12" t="n">
        <v>400</v>
      </c>
      <c r="I15" s="12" t="n">
        <f aca="false">G15*H15</f>
        <v>400</v>
      </c>
      <c r="J15" s="13" t="n">
        <v>6500</v>
      </c>
      <c r="K15" s="13" t="n">
        <f aca="false">G15*J15</f>
        <v>6500</v>
      </c>
      <c r="L15" s="13" t="n">
        <f aca="false">K15*F15</f>
        <v>3900</v>
      </c>
      <c r="M15" s="8" t="s">
        <v>42</v>
      </c>
      <c r="N15" s="9" t="s">
        <v>467</v>
      </c>
      <c r="O15" s="9" t="s">
        <v>61</v>
      </c>
    </row>
    <row r="16" customFormat="false" ht="23.85" hidden="false" customHeight="false" outlineLevel="0" collapsed="false">
      <c r="A16" s="8" t="n">
        <v>11</v>
      </c>
      <c r="B16" s="9" t="s">
        <v>468</v>
      </c>
      <c r="C16" s="9" t="s">
        <v>469</v>
      </c>
      <c r="D16" s="9" t="s">
        <v>470</v>
      </c>
      <c r="E16" s="10" t="s">
        <v>41</v>
      </c>
      <c r="F16" s="11" t="n">
        <v>0.6</v>
      </c>
      <c r="G16" s="8" t="n">
        <v>1</v>
      </c>
      <c r="H16" s="12" t="n">
        <v>600</v>
      </c>
      <c r="I16" s="12" t="n">
        <f aca="false">G16*H16</f>
        <v>600</v>
      </c>
      <c r="J16" s="13" t="n">
        <v>3000</v>
      </c>
      <c r="K16" s="13" t="n">
        <f aca="false">G16*J16</f>
        <v>3000</v>
      </c>
      <c r="L16" s="13" t="n">
        <f aca="false">K16*F16</f>
        <v>1800</v>
      </c>
      <c r="M16" s="8" t="s">
        <v>42</v>
      </c>
      <c r="N16" s="9" t="s">
        <v>471</v>
      </c>
      <c r="O16" s="9" t="s">
        <v>472</v>
      </c>
    </row>
    <row r="17" customFormat="false" ht="23.85" hidden="false" customHeight="false" outlineLevel="0" collapsed="false">
      <c r="A17" s="8" t="n">
        <v>12</v>
      </c>
      <c r="B17" s="9" t="s">
        <v>473</v>
      </c>
      <c r="C17" s="9" t="s">
        <v>474</v>
      </c>
      <c r="D17" s="9" t="s">
        <v>475</v>
      </c>
      <c r="E17" s="10" t="s">
        <v>54</v>
      </c>
      <c r="F17" s="11" t="n">
        <v>1</v>
      </c>
      <c r="G17" s="8" t="n">
        <v>1</v>
      </c>
      <c r="H17" s="12" t="n">
        <v>900</v>
      </c>
      <c r="I17" s="12" t="n">
        <f aca="false">G17*H17</f>
        <v>900</v>
      </c>
      <c r="J17" s="13" t="n">
        <v>3000</v>
      </c>
      <c r="K17" s="13" t="n">
        <f aca="false">G17*J17</f>
        <v>3000</v>
      </c>
      <c r="L17" s="13" t="n">
        <f aca="false">K17*F17</f>
        <v>3000</v>
      </c>
      <c r="M17" s="8" t="s">
        <v>74</v>
      </c>
      <c r="N17" s="9" t="s">
        <v>476</v>
      </c>
      <c r="O17" s="9" t="s">
        <v>477</v>
      </c>
    </row>
    <row r="18" customFormat="false" ht="15" hidden="false" customHeight="false" outlineLevel="0" collapsed="false">
      <c r="A18" s="6" t="s">
        <v>478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customFormat="false" ht="23.85" hidden="false" customHeight="false" outlineLevel="0" collapsed="false">
      <c r="A19" s="8" t="n">
        <v>13</v>
      </c>
      <c r="B19" s="9" t="s">
        <v>479</v>
      </c>
      <c r="C19" s="9" t="s">
        <v>480</v>
      </c>
      <c r="D19" s="9" t="s">
        <v>481</v>
      </c>
      <c r="E19" s="10" t="s">
        <v>54</v>
      </c>
      <c r="F19" s="11" t="n">
        <v>0.9</v>
      </c>
      <c r="G19" s="8" t="n">
        <v>1</v>
      </c>
      <c r="H19" s="12" t="n">
        <v>2500</v>
      </c>
      <c r="I19" s="12" t="n">
        <f aca="false">G19*H19</f>
        <v>2500</v>
      </c>
      <c r="J19" s="13" t="n">
        <v>9000</v>
      </c>
      <c r="K19" s="13" t="n">
        <f aca="false">G19*J19</f>
        <v>9000</v>
      </c>
      <c r="L19" s="13" t="n">
        <f aca="false">K19*F19</f>
        <v>8100</v>
      </c>
      <c r="M19" s="8" t="s">
        <v>42</v>
      </c>
      <c r="N19" s="9" t="s">
        <v>482</v>
      </c>
      <c r="O19" s="9" t="s">
        <v>483</v>
      </c>
    </row>
    <row r="20" customFormat="false" ht="15" hidden="false" customHeight="false" outlineLevel="0" collapsed="false">
      <c r="A20" s="8" t="n">
        <v>14</v>
      </c>
      <c r="B20" s="9" t="s">
        <v>484</v>
      </c>
      <c r="C20" s="9" t="s">
        <v>485</v>
      </c>
      <c r="D20" s="9" t="s">
        <v>211</v>
      </c>
      <c r="E20" s="14" t="s">
        <v>123</v>
      </c>
      <c r="F20" s="11" t="n">
        <v>0.4</v>
      </c>
      <c r="G20" s="8" t="n">
        <v>1</v>
      </c>
      <c r="H20" s="12" t="n">
        <v>3000</v>
      </c>
      <c r="I20" s="12" t="n">
        <f aca="false">G20*H20</f>
        <v>3000</v>
      </c>
      <c r="J20" s="13" t="n">
        <v>6500</v>
      </c>
      <c r="K20" s="13" t="n">
        <f aca="false">G20*J20</f>
        <v>6500</v>
      </c>
      <c r="L20" s="13" t="n">
        <f aca="false">K20*F20</f>
        <v>2600</v>
      </c>
      <c r="M20" s="8" t="s">
        <v>42</v>
      </c>
      <c r="N20" s="9" t="s">
        <v>61</v>
      </c>
      <c r="O20" s="9" t="s">
        <v>61</v>
      </c>
    </row>
    <row r="21" customFormat="false" ht="23.85" hidden="false" customHeight="false" outlineLevel="0" collapsed="false">
      <c r="A21" s="8" t="n">
        <v>15</v>
      </c>
      <c r="B21" s="9" t="s">
        <v>486</v>
      </c>
      <c r="C21" s="9" t="s">
        <v>487</v>
      </c>
      <c r="D21" s="9" t="s">
        <v>488</v>
      </c>
      <c r="E21" s="10" t="s">
        <v>54</v>
      </c>
      <c r="F21" s="11" t="n">
        <v>0.8</v>
      </c>
      <c r="G21" s="8" t="n">
        <v>1</v>
      </c>
      <c r="H21" s="12" t="n">
        <v>4000</v>
      </c>
      <c r="I21" s="12" t="n">
        <f aca="false">G21*H21</f>
        <v>4000</v>
      </c>
      <c r="J21" s="13" t="n">
        <v>8500</v>
      </c>
      <c r="K21" s="13" t="n">
        <f aca="false">G21*J21</f>
        <v>8500</v>
      </c>
      <c r="L21" s="13" t="n">
        <f aca="false">K21*F21</f>
        <v>6800</v>
      </c>
      <c r="M21" s="8" t="s">
        <v>42</v>
      </c>
      <c r="N21" s="9" t="s">
        <v>489</v>
      </c>
      <c r="O21" s="9" t="s">
        <v>61</v>
      </c>
    </row>
    <row r="22" customFormat="false" ht="15" hidden="false" customHeight="false" outlineLevel="0" collapsed="false">
      <c r="A22" s="8" t="n">
        <v>16</v>
      </c>
      <c r="B22" s="9" t="s">
        <v>490</v>
      </c>
      <c r="C22" s="9" t="s">
        <v>491</v>
      </c>
      <c r="D22" s="9" t="s">
        <v>492</v>
      </c>
      <c r="E22" s="10" t="s">
        <v>54</v>
      </c>
      <c r="F22" s="11" t="n">
        <v>0.8</v>
      </c>
      <c r="G22" s="8" t="n">
        <v>2</v>
      </c>
      <c r="H22" s="12" t="n">
        <v>350</v>
      </c>
      <c r="I22" s="12" t="n">
        <f aca="false">G22*H22</f>
        <v>700</v>
      </c>
      <c r="J22" s="13" t="n">
        <v>4000</v>
      </c>
      <c r="K22" s="13" t="n">
        <f aca="false">G22*J22</f>
        <v>8000</v>
      </c>
      <c r="L22" s="13" t="n">
        <f aca="false">K22*F22</f>
        <v>6400</v>
      </c>
      <c r="M22" s="8" t="s">
        <v>74</v>
      </c>
      <c r="N22" s="9" t="s">
        <v>61</v>
      </c>
      <c r="O22" s="9" t="s">
        <v>493</v>
      </c>
    </row>
    <row r="23" customFormat="false" ht="35.05" hidden="false" customHeight="false" outlineLevel="0" collapsed="false">
      <c r="A23" s="8" t="n">
        <v>17</v>
      </c>
      <c r="B23" s="9" t="s">
        <v>494</v>
      </c>
      <c r="C23" s="9" t="s">
        <v>495</v>
      </c>
      <c r="D23" s="9" t="s">
        <v>496</v>
      </c>
      <c r="E23" s="10" t="s">
        <v>54</v>
      </c>
      <c r="F23" s="11" t="n">
        <v>0.8</v>
      </c>
      <c r="G23" s="8" t="n">
        <v>1</v>
      </c>
      <c r="H23" s="12" t="n">
        <v>12000</v>
      </c>
      <c r="I23" s="12" t="n">
        <f aca="false">G23*H23</f>
        <v>12000</v>
      </c>
      <c r="J23" s="13" t="n">
        <v>50000</v>
      </c>
      <c r="K23" s="13" t="n">
        <f aca="false">G23*J23</f>
        <v>50000</v>
      </c>
      <c r="L23" s="13" t="n">
        <f aca="false">K23*F23</f>
        <v>40000</v>
      </c>
      <c r="M23" s="8" t="s">
        <v>48</v>
      </c>
      <c r="N23" s="9" t="s">
        <v>497</v>
      </c>
      <c r="O23" s="9" t="s">
        <v>498</v>
      </c>
    </row>
    <row r="24" customFormat="false" ht="23.85" hidden="false" customHeight="false" outlineLevel="0" collapsed="false">
      <c r="A24" s="8" t="n">
        <v>18</v>
      </c>
      <c r="B24" s="9" t="s">
        <v>499</v>
      </c>
      <c r="C24" s="9" t="s">
        <v>500</v>
      </c>
      <c r="D24" s="9" t="s">
        <v>501</v>
      </c>
      <c r="E24" s="10" t="s">
        <v>54</v>
      </c>
      <c r="F24" s="11" t="n">
        <v>1</v>
      </c>
      <c r="G24" s="8" t="n">
        <v>1</v>
      </c>
      <c r="H24" s="12" t="n">
        <v>2500</v>
      </c>
      <c r="I24" s="12" t="n">
        <f aca="false">G24*H24</f>
        <v>2500</v>
      </c>
      <c r="J24" s="13" t="n">
        <v>7500</v>
      </c>
      <c r="K24" s="13" t="n">
        <f aca="false">G24*J24</f>
        <v>7500</v>
      </c>
      <c r="L24" s="13" t="n">
        <f aca="false">K24*F24</f>
        <v>7500</v>
      </c>
      <c r="M24" s="8" t="s">
        <v>74</v>
      </c>
      <c r="N24" s="9" t="s">
        <v>61</v>
      </c>
      <c r="O24" s="9" t="s">
        <v>502</v>
      </c>
    </row>
    <row r="25" customFormat="false" ht="23.85" hidden="false" customHeight="false" outlineLevel="0" collapsed="false">
      <c r="A25" s="8" t="n">
        <v>19</v>
      </c>
      <c r="B25" s="9" t="s">
        <v>503</v>
      </c>
      <c r="C25" s="9" t="s">
        <v>504</v>
      </c>
      <c r="D25" s="9" t="s">
        <v>505</v>
      </c>
      <c r="E25" s="10" t="s">
        <v>41</v>
      </c>
      <c r="F25" s="11" t="n">
        <v>0.5</v>
      </c>
      <c r="G25" s="8" t="n">
        <v>1</v>
      </c>
      <c r="H25" s="12" t="n">
        <v>1800</v>
      </c>
      <c r="I25" s="12" t="n">
        <f aca="false">G25*H25</f>
        <v>1800</v>
      </c>
      <c r="J25" s="13" t="n">
        <v>8500</v>
      </c>
      <c r="K25" s="13" t="n">
        <f aca="false">G25*J25</f>
        <v>8500</v>
      </c>
      <c r="L25" s="13" t="n">
        <f aca="false">K25*F25</f>
        <v>4250</v>
      </c>
      <c r="M25" s="8" t="s">
        <v>42</v>
      </c>
      <c r="N25" s="9" t="s">
        <v>506</v>
      </c>
      <c r="O25" s="9" t="s">
        <v>61</v>
      </c>
    </row>
    <row r="26" customFormat="false" ht="15" hidden="false" customHeight="false" outlineLevel="0" collapsed="false">
      <c r="A26" s="6" t="s">
        <v>507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customFormat="false" ht="46.25" hidden="false" customHeight="false" outlineLevel="0" collapsed="false">
      <c r="A27" s="8" t="n">
        <v>20</v>
      </c>
      <c r="B27" s="9" t="s">
        <v>508</v>
      </c>
      <c r="C27" s="9" t="s">
        <v>509</v>
      </c>
      <c r="D27" s="9" t="s">
        <v>510</v>
      </c>
      <c r="E27" s="14" t="s">
        <v>123</v>
      </c>
      <c r="F27" s="11" t="n">
        <v>0.2</v>
      </c>
      <c r="G27" s="8" t="n">
        <v>1</v>
      </c>
      <c r="H27" s="12" t="n">
        <v>0</v>
      </c>
      <c r="I27" s="12" t="n">
        <f aca="false">G27*H27</f>
        <v>0</v>
      </c>
      <c r="J27" s="13" t="n">
        <v>165000</v>
      </c>
      <c r="K27" s="13" t="n">
        <f aca="false">G27*J27</f>
        <v>165000</v>
      </c>
      <c r="L27" s="13" t="n">
        <f aca="false">K27*F27</f>
        <v>33000</v>
      </c>
      <c r="M27" s="8" t="s">
        <v>48</v>
      </c>
      <c r="N27" s="9" t="s">
        <v>511</v>
      </c>
      <c r="O27" s="9" t="s">
        <v>512</v>
      </c>
    </row>
    <row r="28" customFormat="false" ht="15" hidden="false" customHeight="false" outlineLevel="0" collapsed="false">
      <c r="A28" s="8" t="n">
        <v>21</v>
      </c>
      <c r="B28" s="9" t="s">
        <v>513</v>
      </c>
      <c r="C28" s="9" t="s">
        <v>514</v>
      </c>
      <c r="D28" s="9" t="s">
        <v>515</v>
      </c>
      <c r="E28" s="14" t="s">
        <v>123</v>
      </c>
      <c r="F28" s="11" t="n">
        <v>0.3</v>
      </c>
      <c r="G28" s="8" t="n">
        <v>1</v>
      </c>
      <c r="H28" s="12" t="n">
        <v>600</v>
      </c>
      <c r="I28" s="12" t="n">
        <f aca="false">G28*H28</f>
        <v>600</v>
      </c>
      <c r="J28" s="13" t="n">
        <v>3000</v>
      </c>
      <c r="K28" s="13" t="n">
        <f aca="false">G28*J28</f>
        <v>3000</v>
      </c>
      <c r="L28" s="13" t="n">
        <f aca="false">K28*F28</f>
        <v>900</v>
      </c>
      <c r="M28" s="8" t="s">
        <v>74</v>
      </c>
      <c r="N28" s="9" t="s">
        <v>516</v>
      </c>
      <c r="O28" s="9" t="s">
        <v>61</v>
      </c>
    </row>
    <row r="29" customFormat="false" ht="15" hidden="false" customHeight="false" outlineLevel="0" collapsed="false">
      <c r="B29" s="16" t="s">
        <v>274</v>
      </c>
      <c r="F29" s="17" t="n">
        <f aca="false">L29/K29</f>
        <v>0.489368397392673</v>
      </c>
      <c r="I29" s="18" t="n">
        <f aca="false">SUM(I5:I28)</f>
        <v>45160</v>
      </c>
      <c r="K29" s="19" t="n">
        <f aca="false">SUM(K5:K28)</f>
        <v>444900</v>
      </c>
      <c r="L29" s="19" t="n">
        <f aca="false">SUM(L5:L28)</f>
        <v>217720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54"/>
    <col collapsed="false" customWidth="true" hidden="false" outlineLevel="0" max="15" min="15" style="0" width="44"/>
  </cols>
  <sheetData>
    <row r="1" customFormat="false" ht="17.35" hidden="false" customHeight="false" outlineLevel="0" collapsed="false">
      <c r="A1" s="1" t="s">
        <v>517</v>
      </c>
    </row>
    <row r="2" customFormat="false" ht="15" hidden="false" customHeight="false" outlineLevel="0" collapsed="false">
      <c r="A2" s="2" t="s">
        <v>518</v>
      </c>
    </row>
    <row r="3" customFormat="false" ht="31.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</row>
    <row r="4" customFormat="false" ht="15" hidden="false" customHeight="false" outlineLevel="0" collapsed="false">
      <c r="A4" s="6" t="s">
        <v>519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23.85" hidden="false" customHeight="false" outlineLevel="0" collapsed="false">
      <c r="A5" s="8" t="n">
        <v>1</v>
      </c>
      <c r="B5" s="9" t="s">
        <v>520</v>
      </c>
      <c r="C5" s="9" t="s">
        <v>521</v>
      </c>
      <c r="D5" s="9" t="s">
        <v>522</v>
      </c>
      <c r="E5" s="10" t="s">
        <v>54</v>
      </c>
      <c r="F5" s="11" t="n">
        <v>0.9</v>
      </c>
      <c r="G5" s="8" t="n">
        <v>4</v>
      </c>
      <c r="H5" s="12" t="n">
        <v>150</v>
      </c>
      <c r="I5" s="12" t="n">
        <f aca="false">G5*H5</f>
        <v>600</v>
      </c>
      <c r="J5" s="13" t="n">
        <v>7000</v>
      </c>
      <c r="K5" s="13" t="n">
        <f aca="false">G5*J5</f>
        <v>28000</v>
      </c>
      <c r="L5" s="13" t="n">
        <f aca="false">K5*F5</f>
        <v>25200</v>
      </c>
      <c r="M5" s="8" t="s">
        <v>101</v>
      </c>
      <c r="N5" s="9" t="s">
        <v>523</v>
      </c>
      <c r="O5" s="9" t="s">
        <v>61</v>
      </c>
    </row>
    <row r="6" customFormat="false" ht="15" hidden="false" customHeight="false" outlineLevel="0" collapsed="false">
      <c r="A6" s="8" t="n">
        <v>2</v>
      </c>
      <c r="B6" s="9" t="s">
        <v>524</v>
      </c>
      <c r="C6" s="9" t="s">
        <v>525</v>
      </c>
      <c r="D6" s="9" t="s">
        <v>526</v>
      </c>
      <c r="E6" s="10" t="s">
        <v>54</v>
      </c>
      <c r="F6" s="11" t="n">
        <v>0.8</v>
      </c>
      <c r="G6" s="8" t="n">
        <v>4</v>
      </c>
      <c r="H6" s="12" t="n">
        <v>48</v>
      </c>
      <c r="I6" s="12" t="n">
        <f aca="false">G6*H6</f>
        <v>192</v>
      </c>
      <c r="J6" s="13" t="n">
        <v>3000</v>
      </c>
      <c r="K6" s="13" t="n">
        <f aca="false">G6*J6</f>
        <v>12000</v>
      </c>
      <c r="L6" s="13" t="n">
        <f aca="false">K6*F6</f>
        <v>9600</v>
      </c>
      <c r="M6" s="8" t="s">
        <v>107</v>
      </c>
      <c r="N6" s="9" t="s">
        <v>527</v>
      </c>
      <c r="O6" s="9" t="s">
        <v>61</v>
      </c>
    </row>
    <row r="7" customFormat="false" ht="23.85" hidden="false" customHeight="false" outlineLevel="0" collapsed="false">
      <c r="A7" s="8" t="n">
        <v>3</v>
      </c>
      <c r="B7" s="9" t="s">
        <v>528</v>
      </c>
      <c r="C7" s="9" t="s">
        <v>529</v>
      </c>
      <c r="D7" s="9" t="s">
        <v>530</v>
      </c>
      <c r="E7" s="10" t="s">
        <v>41</v>
      </c>
      <c r="F7" s="11" t="n">
        <v>0.7</v>
      </c>
      <c r="G7" s="8" t="n">
        <v>6</v>
      </c>
      <c r="H7" s="12" t="n">
        <v>116</v>
      </c>
      <c r="I7" s="12" t="n">
        <f aca="false">G7*H7</f>
        <v>696</v>
      </c>
      <c r="J7" s="13" t="n">
        <v>2200</v>
      </c>
      <c r="K7" s="13" t="n">
        <f aca="false">G7*J7</f>
        <v>13200</v>
      </c>
      <c r="L7" s="13" t="n">
        <f aca="false">K7*F7</f>
        <v>9240</v>
      </c>
      <c r="M7" s="8" t="s">
        <v>48</v>
      </c>
      <c r="N7" s="9" t="s">
        <v>531</v>
      </c>
      <c r="O7" s="9" t="s">
        <v>61</v>
      </c>
    </row>
    <row r="8" customFormat="false" ht="23.85" hidden="false" customHeight="false" outlineLevel="0" collapsed="false">
      <c r="A8" s="8" t="n">
        <v>4</v>
      </c>
      <c r="B8" s="9" t="s">
        <v>532</v>
      </c>
      <c r="C8" s="9" t="s">
        <v>533</v>
      </c>
      <c r="D8" s="9" t="s">
        <v>226</v>
      </c>
      <c r="E8" s="10" t="s">
        <v>41</v>
      </c>
      <c r="F8" s="11" t="n">
        <v>0.75</v>
      </c>
      <c r="G8" s="8" t="n">
        <v>4</v>
      </c>
      <c r="H8" s="12" t="n">
        <v>162</v>
      </c>
      <c r="I8" s="12" t="n">
        <f aca="false">G8*H8</f>
        <v>648</v>
      </c>
      <c r="J8" s="13" t="n">
        <v>2200</v>
      </c>
      <c r="K8" s="13" t="n">
        <f aca="false">G8*J8</f>
        <v>8800</v>
      </c>
      <c r="L8" s="13" t="n">
        <f aca="false">K8*F8</f>
        <v>6600</v>
      </c>
      <c r="M8" s="8" t="s">
        <v>42</v>
      </c>
      <c r="N8" s="9" t="s">
        <v>534</v>
      </c>
      <c r="O8" s="9" t="s">
        <v>61</v>
      </c>
    </row>
    <row r="9" customFormat="false" ht="23.85" hidden="false" customHeight="false" outlineLevel="0" collapsed="false">
      <c r="A9" s="8" t="n">
        <v>5</v>
      </c>
      <c r="B9" s="9" t="s">
        <v>535</v>
      </c>
      <c r="C9" s="9" t="s">
        <v>536</v>
      </c>
      <c r="D9" s="9" t="s">
        <v>537</v>
      </c>
      <c r="E9" s="10" t="s">
        <v>41</v>
      </c>
      <c r="F9" s="11" t="n">
        <v>0.6</v>
      </c>
      <c r="G9" s="8" t="n">
        <v>1</v>
      </c>
      <c r="H9" s="12" t="n">
        <v>50</v>
      </c>
      <c r="I9" s="12" t="n">
        <f aca="false">G9*H9</f>
        <v>50</v>
      </c>
      <c r="J9" s="13" t="n">
        <v>26000</v>
      </c>
      <c r="K9" s="13" t="n">
        <f aca="false">G9*J9</f>
        <v>26000</v>
      </c>
      <c r="L9" s="13" t="n">
        <f aca="false">K9*F9</f>
        <v>15600</v>
      </c>
      <c r="M9" s="8" t="s">
        <v>101</v>
      </c>
      <c r="N9" s="9" t="s">
        <v>538</v>
      </c>
      <c r="O9" s="9" t="s">
        <v>61</v>
      </c>
    </row>
    <row r="10" customFormat="false" ht="15" hidden="false" customHeight="false" outlineLevel="0" collapsed="false">
      <c r="A10" s="8" t="n">
        <v>6</v>
      </c>
      <c r="B10" s="9" t="s">
        <v>539</v>
      </c>
      <c r="C10" s="9" t="s">
        <v>540</v>
      </c>
      <c r="D10" s="9" t="s">
        <v>541</v>
      </c>
      <c r="E10" s="10" t="s">
        <v>41</v>
      </c>
      <c r="F10" s="11" t="n">
        <v>0.6</v>
      </c>
      <c r="G10" s="8" t="n">
        <v>1</v>
      </c>
      <c r="H10" s="12" t="n">
        <v>90</v>
      </c>
      <c r="I10" s="12" t="n">
        <f aca="false">G10*H10</f>
        <v>90</v>
      </c>
      <c r="J10" s="13" t="n">
        <v>18000</v>
      </c>
      <c r="K10" s="13" t="n">
        <f aca="false">G10*J10</f>
        <v>18000</v>
      </c>
      <c r="L10" s="13" t="n">
        <f aca="false">K10*F10</f>
        <v>10800</v>
      </c>
      <c r="M10" s="8" t="s">
        <v>48</v>
      </c>
      <c r="N10" s="9" t="s">
        <v>61</v>
      </c>
      <c r="O10" s="9" t="s">
        <v>61</v>
      </c>
    </row>
    <row r="11" customFormat="false" ht="23.85" hidden="false" customHeight="false" outlineLevel="0" collapsed="false">
      <c r="A11" s="8" t="n">
        <v>7</v>
      </c>
      <c r="B11" s="9" t="s">
        <v>542</v>
      </c>
      <c r="C11" s="9" t="s">
        <v>543</v>
      </c>
      <c r="D11" s="9" t="s">
        <v>544</v>
      </c>
      <c r="E11" s="15" t="s">
        <v>159</v>
      </c>
      <c r="F11" s="11" t="n">
        <v>0.25</v>
      </c>
      <c r="G11" s="8" t="n">
        <v>1</v>
      </c>
      <c r="H11" s="12" t="n">
        <v>200</v>
      </c>
      <c r="I11" s="12" t="n">
        <f aca="false">G11*H11</f>
        <v>200</v>
      </c>
      <c r="J11" s="13" t="n">
        <v>55000</v>
      </c>
      <c r="K11" s="13" t="n">
        <f aca="false">G11*J11</f>
        <v>55000</v>
      </c>
      <c r="L11" s="13" t="n">
        <f aca="false">K11*F11</f>
        <v>13750</v>
      </c>
      <c r="M11" s="8" t="s">
        <v>206</v>
      </c>
      <c r="N11" s="9" t="s">
        <v>545</v>
      </c>
      <c r="O11" s="9" t="s">
        <v>546</v>
      </c>
    </row>
    <row r="12" customFormat="false" ht="23.85" hidden="false" customHeight="false" outlineLevel="0" collapsed="false">
      <c r="A12" s="8" t="n">
        <v>8</v>
      </c>
      <c r="B12" s="9" t="s">
        <v>547</v>
      </c>
      <c r="C12" s="9" t="s">
        <v>548</v>
      </c>
      <c r="D12" s="9" t="s">
        <v>549</v>
      </c>
      <c r="E12" s="10" t="s">
        <v>41</v>
      </c>
      <c r="F12" s="11" t="n">
        <v>0.6</v>
      </c>
      <c r="G12" s="8" t="n">
        <v>1</v>
      </c>
      <c r="H12" s="12" t="n">
        <v>105</v>
      </c>
      <c r="I12" s="12" t="n">
        <f aca="false">G12*H12</f>
        <v>105</v>
      </c>
      <c r="J12" s="13" t="n">
        <v>16600</v>
      </c>
      <c r="K12" s="13" t="n">
        <f aca="false">G12*J12</f>
        <v>16600</v>
      </c>
      <c r="L12" s="13" t="n">
        <f aca="false">K12*F12</f>
        <v>9960</v>
      </c>
      <c r="M12" s="8" t="s">
        <v>101</v>
      </c>
      <c r="N12" s="9" t="s">
        <v>550</v>
      </c>
      <c r="O12" s="9" t="s">
        <v>61</v>
      </c>
    </row>
    <row r="13" customFormat="false" ht="23.85" hidden="false" customHeight="false" outlineLevel="0" collapsed="false">
      <c r="A13" s="8" t="n">
        <v>9</v>
      </c>
      <c r="B13" s="9" t="s">
        <v>551</v>
      </c>
      <c r="C13" s="9" t="s">
        <v>552</v>
      </c>
      <c r="D13" s="9" t="s">
        <v>553</v>
      </c>
      <c r="E13" s="10" t="s">
        <v>54</v>
      </c>
      <c r="F13" s="11" t="n">
        <v>0.85</v>
      </c>
      <c r="G13" s="8" t="n">
        <v>3</v>
      </c>
      <c r="H13" s="12" t="n">
        <v>1500</v>
      </c>
      <c r="I13" s="12" t="n">
        <f aca="false">G13*H13</f>
        <v>4500</v>
      </c>
      <c r="J13" s="13" t="n">
        <v>19000</v>
      </c>
      <c r="K13" s="13" t="n">
        <f aca="false">G13*J13</f>
        <v>57000</v>
      </c>
      <c r="L13" s="13" t="n">
        <f aca="false">K13*F13</f>
        <v>48450</v>
      </c>
      <c r="M13" s="8" t="s">
        <v>48</v>
      </c>
      <c r="N13" s="9" t="s">
        <v>554</v>
      </c>
      <c r="O13" s="9" t="s">
        <v>61</v>
      </c>
    </row>
    <row r="14" customFormat="false" ht="35.05" hidden="false" customHeight="false" outlineLevel="0" collapsed="false">
      <c r="A14" s="8" t="n">
        <v>10</v>
      </c>
      <c r="B14" s="9" t="s">
        <v>555</v>
      </c>
      <c r="C14" s="9" t="s">
        <v>556</v>
      </c>
      <c r="D14" s="9" t="s">
        <v>557</v>
      </c>
      <c r="E14" s="10" t="s">
        <v>41</v>
      </c>
      <c r="F14" s="11" t="n">
        <v>0.7</v>
      </c>
      <c r="G14" s="8" t="n">
        <v>1</v>
      </c>
      <c r="H14" s="12" t="n">
        <v>5700</v>
      </c>
      <c r="I14" s="12" t="n">
        <f aca="false">G14*H14</f>
        <v>5700</v>
      </c>
      <c r="J14" s="13" t="n">
        <v>165000</v>
      </c>
      <c r="K14" s="13" t="n">
        <f aca="false">G14*J14</f>
        <v>165000</v>
      </c>
      <c r="L14" s="13" t="n">
        <f aca="false">K14*F14</f>
        <v>115500</v>
      </c>
      <c r="M14" s="8" t="s">
        <v>558</v>
      </c>
      <c r="N14" s="9" t="s">
        <v>559</v>
      </c>
      <c r="O14" s="9" t="s">
        <v>560</v>
      </c>
    </row>
    <row r="15" customFormat="false" ht="15" hidden="false" customHeight="false" outlineLevel="0" collapsed="false">
      <c r="A15" s="6" t="s">
        <v>561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23.85" hidden="false" customHeight="false" outlineLevel="0" collapsed="false">
      <c r="A16" s="8" t="n">
        <v>11</v>
      </c>
      <c r="B16" s="9" t="s">
        <v>562</v>
      </c>
      <c r="C16" s="9" t="s">
        <v>563</v>
      </c>
      <c r="D16" s="9" t="s">
        <v>564</v>
      </c>
      <c r="E16" s="10" t="s">
        <v>54</v>
      </c>
      <c r="F16" s="11" t="n">
        <v>0.9</v>
      </c>
      <c r="G16" s="8" t="n">
        <v>1</v>
      </c>
      <c r="H16" s="12" t="n">
        <v>450</v>
      </c>
      <c r="I16" s="12" t="n">
        <f aca="false">G16*H16</f>
        <v>450</v>
      </c>
      <c r="J16" s="13" t="n">
        <v>2500</v>
      </c>
      <c r="K16" s="13" t="n">
        <f aca="false">G16*J16</f>
        <v>2500</v>
      </c>
      <c r="L16" s="13" t="n">
        <f aca="false">K16*F16</f>
        <v>2250</v>
      </c>
      <c r="M16" s="8" t="s">
        <v>74</v>
      </c>
      <c r="N16" s="9" t="s">
        <v>565</v>
      </c>
      <c r="O16" s="9" t="s">
        <v>566</v>
      </c>
    </row>
    <row r="17" customFormat="false" ht="23.85" hidden="false" customHeight="false" outlineLevel="0" collapsed="false">
      <c r="A17" s="8" t="n">
        <v>12</v>
      </c>
      <c r="B17" s="9" t="s">
        <v>567</v>
      </c>
      <c r="C17" s="9" t="s">
        <v>568</v>
      </c>
      <c r="D17" s="9" t="s">
        <v>569</v>
      </c>
      <c r="E17" s="10" t="s">
        <v>54</v>
      </c>
      <c r="F17" s="11" t="n">
        <v>1</v>
      </c>
      <c r="G17" s="8" t="n">
        <v>1</v>
      </c>
      <c r="H17" s="12" t="n">
        <v>620</v>
      </c>
      <c r="I17" s="12" t="n">
        <f aca="false">G17*H17</f>
        <v>620</v>
      </c>
      <c r="J17" s="13" t="n">
        <v>2400</v>
      </c>
      <c r="K17" s="13" t="n">
        <f aca="false">G17*J17</f>
        <v>2400</v>
      </c>
      <c r="L17" s="13" t="n">
        <f aca="false">K17*F17</f>
        <v>2400</v>
      </c>
      <c r="M17" s="8" t="s">
        <v>74</v>
      </c>
      <c r="N17" s="9" t="s">
        <v>61</v>
      </c>
      <c r="O17" s="9" t="s">
        <v>61</v>
      </c>
    </row>
    <row r="18" customFormat="false" ht="23.85" hidden="false" customHeight="false" outlineLevel="0" collapsed="false">
      <c r="A18" s="8" t="n">
        <v>13</v>
      </c>
      <c r="B18" s="9" t="s">
        <v>570</v>
      </c>
      <c r="C18" s="9" t="s">
        <v>571</v>
      </c>
      <c r="D18" s="9" t="s">
        <v>572</v>
      </c>
      <c r="E18" s="10" t="s">
        <v>54</v>
      </c>
      <c r="F18" s="11" t="n">
        <v>0.8</v>
      </c>
      <c r="G18" s="8" t="n">
        <v>1</v>
      </c>
      <c r="H18" s="12" t="n">
        <v>500</v>
      </c>
      <c r="I18" s="12" t="n">
        <f aca="false">G18*H18</f>
        <v>500</v>
      </c>
      <c r="J18" s="13" t="n">
        <v>1600</v>
      </c>
      <c r="K18" s="13" t="n">
        <f aca="false">G18*J18</f>
        <v>1600</v>
      </c>
      <c r="L18" s="13" t="n">
        <f aca="false">K18*F18</f>
        <v>1280</v>
      </c>
      <c r="M18" s="8" t="s">
        <v>74</v>
      </c>
      <c r="N18" s="9" t="s">
        <v>61</v>
      </c>
      <c r="O18" s="9" t="s">
        <v>61</v>
      </c>
    </row>
    <row r="19" customFormat="false" ht="23.85" hidden="false" customHeight="false" outlineLevel="0" collapsed="false">
      <c r="A19" s="8" t="n">
        <v>14</v>
      </c>
      <c r="B19" s="9" t="s">
        <v>573</v>
      </c>
      <c r="C19" s="9" t="s">
        <v>574</v>
      </c>
      <c r="D19" s="9" t="s">
        <v>575</v>
      </c>
      <c r="E19" s="10" t="s">
        <v>41</v>
      </c>
      <c r="F19" s="11" t="n">
        <v>0.5</v>
      </c>
      <c r="G19" s="8" t="n">
        <v>1</v>
      </c>
      <c r="H19" s="12" t="n">
        <v>5000</v>
      </c>
      <c r="I19" s="12" t="n">
        <f aca="false">G19*H19</f>
        <v>5000</v>
      </c>
      <c r="J19" s="13" t="n">
        <v>7500</v>
      </c>
      <c r="K19" s="13" t="n">
        <f aca="false">G19*J19</f>
        <v>7500</v>
      </c>
      <c r="L19" s="13" t="n">
        <f aca="false">K19*F19</f>
        <v>3750</v>
      </c>
      <c r="M19" s="8" t="s">
        <v>148</v>
      </c>
      <c r="N19" s="9" t="s">
        <v>576</v>
      </c>
      <c r="O19" s="9" t="s">
        <v>577</v>
      </c>
    </row>
    <row r="20" customFormat="false" ht="23.85" hidden="false" customHeight="false" outlineLevel="0" collapsed="false">
      <c r="A20" s="8" t="n">
        <v>15</v>
      </c>
      <c r="B20" s="9" t="s">
        <v>578</v>
      </c>
      <c r="C20" s="9" t="s">
        <v>579</v>
      </c>
      <c r="D20" s="9" t="s">
        <v>580</v>
      </c>
      <c r="E20" s="10" t="s">
        <v>41</v>
      </c>
      <c r="F20" s="11" t="n">
        <v>0.7</v>
      </c>
      <c r="G20" s="8" t="n">
        <v>2</v>
      </c>
      <c r="H20" s="12" t="n">
        <v>900</v>
      </c>
      <c r="I20" s="12" t="n">
        <f aca="false">G20*H20</f>
        <v>1800</v>
      </c>
      <c r="J20" s="13" t="n">
        <v>6500</v>
      </c>
      <c r="K20" s="13" t="n">
        <f aca="false">G20*J20</f>
        <v>13000</v>
      </c>
      <c r="L20" s="13" t="n">
        <f aca="false">K20*F20</f>
        <v>9100</v>
      </c>
      <c r="M20" s="8" t="s">
        <v>48</v>
      </c>
      <c r="N20" s="9" t="s">
        <v>581</v>
      </c>
      <c r="O20" s="9" t="s">
        <v>61</v>
      </c>
    </row>
    <row r="21" customFormat="false" ht="23.85" hidden="false" customHeight="false" outlineLevel="0" collapsed="false">
      <c r="A21" s="8" t="n">
        <v>16</v>
      </c>
      <c r="B21" s="9" t="s">
        <v>582</v>
      </c>
      <c r="C21" s="9" t="s">
        <v>583</v>
      </c>
      <c r="D21" s="9" t="s">
        <v>272</v>
      </c>
      <c r="E21" s="10" t="s">
        <v>54</v>
      </c>
      <c r="F21" s="11" t="n">
        <v>1</v>
      </c>
      <c r="G21" s="8" t="n">
        <v>1</v>
      </c>
      <c r="H21" s="12" t="n">
        <v>1800</v>
      </c>
      <c r="I21" s="12" t="n">
        <f aca="false">G21*H21</f>
        <v>1800</v>
      </c>
      <c r="J21" s="13" t="n">
        <v>3000</v>
      </c>
      <c r="K21" s="13" t="n">
        <f aca="false">G21*J21</f>
        <v>3000</v>
      </c>
      <c r="L21" s="13" t="n">
        <f aca="false">K21*F21</f>
        <v>3000</v>
      </c>
      <c r="M21" s="8" t="s">
        <v>74</v>
      </c>
      <c r="N21" s="9" t="s">
        <v>584</v>
      </c>
      <c r="O21" s="9" t="s">
        <v>61</v>
      </c>
    </row>
    <row r="22" customFormat="false" ht="15" hidden="false" customHeight="false" outlineLevel="0" collapsed="false">
      <c r="B22" s="16" t="s">
        <v>274</v>
      </c>
      <c r="F22" s="17" t="n">
        <f aca="false">L22/K22</f>
        <v>0.666852886405959</v>
      </c>
      <c r="I22" s="18" t="n">
        <f aca="false">SUM(I5:I21)</f>
        <v>22951</v>
      </c>
      <c r="K22" s="19" t="n">
        <f aca="false">SUM(K5:K21)</f>
        <v>429600</v>
      </c>
      <c r="L22" s="19" t="n">
        <f aca="false">SUM(L5:L21)</f>
        <v>286480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54"/>
    <col collapsed="false" customWidth="true" hidden="false" outlineLevel="0" max="15" min="15" style="0" width="44"/>
  </cols>
  <sheetData>
    <row r="1" customFormat="false" ht="17.35" hidden="false" customHeight="false" outlineLevel="0" collapsed="false">
      <c r="A1" s="1" t="s">
        <v>585</v>
      </c>
    </row>
    <row r="2" customFormat="false" ht="15" hidden="false" customHeight="false" outlineLevel="0" collapsed="false">
      <c r="A2" s="2" t="s">
        <v>586</v>
      </c>
    </row>
    <row r="3" customFormat="false" ht="31.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</row>
    <row r="4" customFormat="false" ht="15" hidden="false" customHeight="false" outlineLevel="0" collapsed="false">
      <c r="A4" s="6" t="s">
        <v>587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23.85" hidden="false" customHeight="false" outlineLevel="0" collapsed="false">
      <c r="A5" s="8" t="n">
        <v>1</v>
      </c>
      <c r="B5" s="9" t="s">
        <v>588</v>
      </c>
      <c r="C5" s="9" t="s">
        <v>589</v>
      </c>
      <c r="D5" s="9" t="s">
        <v>590</v>
      </c>
      <c r="E5" s="10" t="s">
        <v>54</v>
      </c>
      <c r="F5" s="11" t="n">
        <v>1</v>
      </c>
      <c r="G5" s="8" t="n">
        <v>1</v>
      </c>
      <c r="H5" s="12" t="n">
        <v>0</v>
      </c>
      <c r="I5" s="12" t="n">
        <f aca="false">G5*H5</f>
        <v>0</v>
      </c>
      <c r="J5" s="13" t="n">
        <v>0</v>
      </c>
      <c r="K5" s="13" t="n">
        <f aca="false">G5*J5</f>
        <v>0</v>
      </c>
      <c r="L5" s="13" t="n">
        <f aca="false">K5*F5</f>
        <v>0</v>
      </c>
      <c r="M5" s="8" t="s">
        <v>61</v>
      </c>
      <c r="N5" s="9" t="s">
        <v>591</v>
      </c>
      <c r="O5" s="9" t="s">
        <v>592</v>
      </c>
    </row>
    <row r="6" customFormat="false" ht="23.85" hidden="false" customHeight="false" outlineLevel="0" collapsed="false">
      <c r="A6" s="8" t="n">
        <v>2</v>
      </c>
      <c r="B6" s="9" t="s">
        <v>593</v>
      </c>
      <c r="C6" s="9" t="s">
        <v>594</v>
      </c>
      <c r="D6" s="9" t="s">
        <v>595</v>
      </c>
      <c r="E6" s="10" t="s">
        <v>54</v>
      </c>
      <c r="F6" s="11" t="n">
        <v>1</v>
      </c>
      <c r="G6" s="8" t="n">
        <v>1</v>
      </c>
      <c r="H6" s="12" t="n">
        <v>0</v>
      </c>
      <c r="I6" s="12" t="n">
        <f aca="false">G6*H6</f>
        <v>0</v>
      </c>
      <c r="J6" s="13" t="n">
        <v>0</v>
      </c>
      <c r="K6" s="13" t="n">
        <f aca="false">G6*J6</f>
        <v>0</v>
      </c>
      <c r="L6" s="13" t="n">
        <f aca="false">K6*F6</f>
        <v>0</v>
      </c>
      <c r="M6" s="8" t="s">
        <v>61</v>
      </c>
      <c r="N6" s="9" t="s">
        <v>596</v>
      </c>
      <c r="O6" s="9" t="s">
        <v>61</v>
      </c>
    </row>
    <row r="7" customFormat="false" ht="15" hidden="false" customHeight="false" outlineLevel="0" collapsed="false">
      <c r="A7" s="8" t="n">
        <v>3</v>
      </c>
      <c r="B7" s="9" t="s">
        <v>597</v>
      </c>
      <c r="C7" s="9" t="s">
        <v>598</v>
      </c>
      <c r="D7" s="9" t="s">
        <v>595</v>
      </c>
      <c r="E7" s="10" t="s">
        <v>54</v>
      </c>
      <c r="F7" s="11" t="n">
        <v>1</v>
      </c>
      <c r="G7" s="8" t="n">
        <v>1</v>
      </c>
      <c r="H7" s="12" t="n">
        <v>0</v>
      </c>
      <c r="I7" s="12" t="n">
        <f aca="false">G7*H7</f>
        <v>0</v>
      </c>
      <c r="J7" s="13" t="n">
        <v>0</v>
      </c>
      <c r="K7" s="13" t="n">
        <f aca="false">G7*J7</f>
        <v>0</v>
      </c>
      <c r="L7" s="13" t="n">
        <f aca="false">K7*F7</f>
        <v>0</v>
      </c>
      <c r="M7" s="8" t="s">
        <v>61</v>
      </c>
      <c r="N7" s="9" t="s">
        <v>599</v>
      </c>
      <c r="O7" s="9" t="s">
        <v>61</v>
      </c>
    </row>
    <row r="8" customFormat="false" ht="23.85" hidden="false" customHeight="false" outlineLevel="0" collapsed="false">
      <c r="A8" s="8" t="n">
        <v>4</v>
      </c>
      <c r="B8" s="9" t="s">
        <v>600</v>
      </c>
      <c r="C8" s="9" t="s">
        <v>601</v>
      </c>
      <c r="D8" s="9" t="s">
        <v>595</v>
      </c>
      <c r="E8" s="10" t="s">
        <v>54</v>
      </c>
      <c r="F8" s="11" t="n">
        <v>1</v>
      </c>
      <c r="G8" s="8" t="n">
        <v>1</v>
      </c>
      <c r="H8" s="12" t="n">
        <v>0</v>
      </c>
      <c r="I8" s="12" t="n">
        <f aca="false">G8*H8</f>
        <v>0</v>
      </c>
      <c r="J8" s="13" t="n">
        <v>0</v>
      </c>
      <c r="K8" s="13" t="n">
        <f aca="false">G8*J8</f>
        <v>0</v>
      </c>
      <c r="L8" s="13" t="n">
        <f aca="false">K8*F8</f>
        <v>0</v>
      </c>
      <c r="M8" s="8" t="s">
        <v>61</v>
      </c>
      <c r="N8" s="9" t="s">
        <v>602</v>
      </c>
      <c r="O8" s="9" t="s">
        <v>61</v>
      </c>
    </row>
    <row r="9" customFormat="false" ht="23.85" hidden="false" customHeight="false" outlineLevel="0" collapsed="false">
      <c r="A9" s="8" t="n">
        <v>5</v>
      </c>
      <c r="B9" s="9" t="s">
        <v>603</v>
      </c>
      <c r="C9" s="9" t="s">
        <v>604</v>
      </c>
      <c r="D9" s="9" t="s">
        <v>595</v>
      </c>
      <c r="E9" s="10" t="s">
        <v>54</v>
      </c>
      <c r="F9" s="11" t="n">
        <v>1</v>
      </c>
      <c r="G9" s="8" t="n">
        <v>1</v>
      </c>
      <c r="H9" s="12" t="n">
        <v>0</v>
      </c>
      <c r="I9" s="12" t="n">
        <f aca="false">G9*H9</f>
        <v>0</v>
      </c>
      <c r="J9" s="13" t="n">
        <v>0</v>
      </c>
      <c r="K9" s="13" t="n">
        <f aca="false">G9*J9</f>
        <v>0</v>
      </c>
      <c r="L9" s="13" t="n">
        <f aca="false">K9*F9</f>
        <v>0</v>
      </c>
      <c r="M9" s="8" t="s">
        <v>61</v>
      </c>
      <c r="N9" s="9" t="s">
        <v>605</v>
      </c>
      <c r="O9" s="9" t="s">
        <v>61</v>
      </c>
    </row>
    <row r="10" customFormat="false" ht="15" hidden="false" customHeight="false" outlineLevel="0" collapsed="false">
      <c r="A10" s="8" t="n">
        <v>6</v>
      </c>
      <c r="B10" s="9" t="s">
        <v>606</v>
      </c>
      <c r="C10" s="9" t="s">
        <v>607</v>
      </c>
      <c r="D10" s="9" t="s">
        <v>595</v>
      </c>
      <c r="E10" s="10" t="s">
        <v>54</v>
      </c>
      <c r="F10" s="11" t="n">
        <v>1</v>
      </c>
      <c r="G10" s="8" t="n">
        <v>1</v>
      </c>
      <c r="H10" s="12" t="n">
        <v>0</v>
      </c>
      <c r="I10" s="12" t="n">
        <f aca="false">G10*H10</f>
        <v>0</v>
      </c>
      <c r="J10" s="13" t="n">
        <v>0</v>
      </c>
      <c r="K10" s="13" t="n">
        <f aca="false">G10*J10</f>
        <v>0</v>
      </c>
      <c r="L10" s="13" t="n">
        <f aca="false">K10*F10</f>
        <v>0</v>
      </c>
      <c r="M10" s="8" t="s">
        <v>61</v>
      </c>
      <c r="N10" s="9" t="s">
        <v>608</v>
      </c>
      <c r="O10" s="9" t="s">
        <v>61</v>
      </c>
    </row>
    <row r="11" customFormat="false" ht="15" hidden="false" customHeight="false" outlineLevel="0" collapsed="false">
      <c r="A11" s="8" t="n">
        <v>7</v>
      </c>
      <c r="B11" s="9" t="s">
        <v>609</v>
      </c>
      <c r="C11" s="9" t="s">
        <v>610</v>
      </c>
      <c r="D11" s="9" t="s">
        <v>595</v>
      </c>
      <c r="E11" s="10" t="s">
        <v>54</v>
      </c>
      <c r="F11" s="11" t="n">
        <v>1</v>
      </c>
      <c r="G11" s="8" t="n">
        <v>1</v>
      </c>
      <c r="H11" s="12" t="n">
        <v>0</v>
      </c>
      <c r="I11" s="12" t="n">
        <f aca="false">G11*H11</f>
        <v>0</v>
      </c>
      <c r="J11" s="13" t="n">
        <v>0</v>
      </c>
      <c r="K11" s="13" t="n">
        <f aca="false">G11*J11</f>
        <v>0</v>
      </c>
      <c r="L11" s="13" t="n">
        <f aca="false">K11*F11</f>
        <v>0</v>
      </c>
      <c r="M11" s="8" t="s">
        <v>61</v>
      </c>
      <c r="N11" s="9" t="s">
        <v>611</v>
      </c>
      <c r="O11" s="9" t="s">
        <v>61</v>
      </c>
    </row>
    <row r="12" customFormat="false" ht="35.05" hidden="false" customHeight="false" outlineLevel="0" collapsed="false">
      <c r="A12" s="8" t="n">
        <v>8</v>
      </c>
      <c r="B12" s="9" t="s">
        <v>612</v>
      </c>
      <c r="C12" s="9" t="s">
        <v>613</v>
      </c>
      <c r="D12" s="9" t="s">
        <v>595</v>
      </c>
      <c r="E12" s="10" t="s">
        <v>54</v>
      </c>
      <c r="F12" s="11" t="n">
        <v>1</v>
      </c>
      <c r="G12" s="8" t="n">
        <v>1</v>
      </c>
      <c r="H12" s="12" t="n">
        <v>0</v>
      </c>
      <c r="I12" s="12" t="n">
        <f aca="false">G12*H12</f>
        <v>0</v>
      </c>
      <c r="J12" s="13" t="n">
        <v>0</v>
      </c>
      <c r="K12" s="13" t="n">
        <f aca="false">G12*J12</f>
        <v>0</v>
      </c>
      <c r="L12" s="13" t="n">
        <f aca="false">K12*F12</f>
        <v>0</v>
      </c>
      <c r="M12" s="8" t="s">
        <v>61</v>
      </c>
      <c r="N12" s="9" t="s">
        <v>614</v>
      </c>
      <c r="O12" s="9" t="s">
        <v>615</v>
      </c>
    </row>
    <row r="13" customFormat="false" ht="23.85" hidden="false" customHeight="false" outlineLevel="0" collapsed="false">
      <c r="A13" s="8" t="n">
        <v>9</v>
      </c>
      <c r="B13" s="9" t="s">
        <v>616</v>
      </c>
      <c r="C13" s="9" t="s">
        <v>617</v>
      </c>
      <c r="D13" s="9" t="s">
        <v>618</v>
      </c>
      <c r="E13" s="10" t="s">
        <v>54</v>
      </c>
      <c r="F13" s="11" t="n">
        <v>1</v>
      </c>
      <c r="G13" s="8" t="n">
        <v>1</v>
      </c>
      <c r="H13" s="12" t="n">
        <v>0</v>
      </c>
      <c r="I13" s="12" t="n">
        <f aca="false">G13*H13</f>
        <v>0</v>
      </c>
      <c r="J13" s="13" t="n">
        <v>0</v>
      </c>
      <c r="K13" s="13" t="n">
        <f aca="false">G13*J13</f>
        <v>0</v>
      </c>
      <c r="L13" s="13" t="n">
        <f aca="false">K13*F13</f>
        <v>0</v>
      </c>
      <c r="M13" s="8" t="s">
        <v>175</v>
      </c>
      <c r="N13" s="9" t="s">
        <v>619</v>
      </c>
      <c r="O13" s="9" t="s">
        <v>620</v>
      </c>
    </row>
    <row r="14" customFormat="false" ht="15" hidden="false" customHeight="false" outlineLevel="0" collapsed="false">
      <c r="A14" s="6" t="s">
        <v>621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68.65" hidden="false" customHeight="false" outlineLevel="0" collapsed="false">
      <c r="A15" s="8" t="n">
        <v>10</v>
      </c>
      <c r="B15" s="9" t="s">
        <v>622</v>
      </c>
      <c r="C15" s="9" t="s">
        <v>623</v>
      </c>
      <c r="D15" s="9" t="s">
        <v>624</v>
      </c>
      <c r="E15" s="10" t="s">
        <v>54</v>
      </c>
      <c r="F15" s="11" t="n">
        <v>1</v>
      </c>
      <c r="G15" s="8" t="n">
        <v>1</v>
      </c>
      <c r="H15" s="12" t="n">
        <v>0</v>
      </c>
      <c r="I15" s="12" t="n">
        <f aca="false">G15*H15</f>
        <v>0</v>
      </c>
      <c r="J15" s="13" t="n">
        <v>60000</v>
      </c>
      <c r="K15" s="13" t="n">
        <f aca="false">G15*J15</f>
        <v>60000</v>
      </c>
      <c r="L15" s="13" t="n">
        <f aca="false">K15*F15</f>
        <v>60000</v>
      </c>
      <c r="M15" s="8" t="s">
        <v>625</v>
      </c>
      <c r="N15" s="9" t="s">
        <v>626</v>
      </c>
      <c r="O15" s="9" t="s">
        <v>627</v>
      </c>
    </row>
    <row r="16" customFormat="false" ht="23.85" hidden="false" customHeight="false" outlineLevel="0" collapsed="false">
      <c r="A16" s="8" t="n">
        <v>11</v>
      </c>
      <c r="B16" s="9" t="s">
        <v>628</v>
      </c>
      <c r="C16" s="9" t="s">
        <v>629</v>
      </c>
      <c r="D16" s="9" t="s">
        <v>630</v>
      </c>
      <c r="E16" s="15" t="s">
        <v>159</v>
      </c>
      <c r="F16" s="11" t="n">
        <v>0</v>
      </c>
      <c r="G16" s="8" t="n">
        <v>1</v>
      </c>
      <c r="H16" s="12" t="n">
        <v>0</v>
      </c>
      <c r="I16" s="12" t="n">
        <f aca="false">G16*H16</f>
        <v>0</v>
      </c>
      <c r="J16" s="13" t="n">
        <v>0</v>
      </c>
      <c r="K16" s="13" t="n">
        <f aca="false">G16*J16</f>
        <v>0</v>
      </c>
      <c r="L16" s="13" t="n">
        <f aca="false">K16*F16</f>
        <v>0</v>
      </c>
      <c r="M16" s="8" t="s">
        <v>631</v>
      </c>
      <c r="N16" s="9" t="s">
        <v>632</v>
      </c>
      <c r="O16" s="9" t="s">
        <v>633</v>
      </c>
    </row>
    <row r="17" customFormat="false" ht="23.85" hidden="false" customHeight="false" outlineLevel="0" collapsed="false">
      <c r="A17" s="8" t="n">
        <v>12</v>
      </c>
      <c r="B17" s="9" t="s">
        <v>634</v>
      </c>
      <c r="C17" s="9" t="s">
        <v>635</v>
      </c>
      <c r="D17" s="9" t="s">
        <v>636</v>
      </c>
      <c r="E17" s="10" t="s">
        <v>54</v>
      </c>
      <c r="F17" s="11" t="n">
        <v>1</v>
      </c>
      <c r="G17" s="8" t="n">
        <v>1</v>
      </c>
      <c r="H17" s="12" t="n">
        <v>0</v>
      </c>
      <c r="I17" s="12" t="n">
        <f aca="false">G17*H17</f>
        <v>0</v>
      </c>
      <c r="J17" s="13" t="n">
        <v>0</v>
      </c>
      <c r="K17" s="13" t="n">
        <f aca="false">G17*J17</f>
        <v>0</v>
      </c>
      <c r="L17" s="13" t="n">
        <f aca="false">K17*F17</f>
        <v>0</v>
      </c>
      <c r="M17" s="8" t="s">
        <v>61</v>
      </c>
      <c r="N17" s="9" t="s">
        <v>637</v>
      </c>
      <c r="O17" s="9" t="s">
        <v>61</v>
      </c>
    </row>
    <row r="18" customFormat="false" ht="23.85" hidden="false" customHeight="false" outlineLevel="0" collapsed="false">
      <c r="A18" s="8" t="n">
        <v>13</v>
      </c>
      <c r="B18" s="9" t="s">
        <v>638</v>
      </c>
      <c r="C18" s="9" t="s">
        <v>639</v>
      </c>
      <c r="D18" s="9" t="s">
        <v>640</v>
      </c>
      <c r="E18" s="10" t="s">
        <v>54</v>
      </c>
      <c r="F18" s="11" t="n">
        <v>0.9</v>
      </c>
      <c r="G18" s="8" t="n">
        <v>1</v>
      </c>
      <c r="H18" s="12" t="n">
        <v>0</v>
      </c>
      <c r="I18" s="12" t="n">
        <f aca="false">G18*H18</f>
        <v>0</v>
      </c>
      <c r="J18" s="13" t="n">
        <v>40000</v>
      </c>
      <c r="K18" s="13" t="n">
        <f aca="false">G18*J18</f>
        <v>40000</v>
      </c>
      <c r="L18" s="13" t="n">
        <f aca="false">K18*F18</f>
        <v>36000</v>
      </c>
      <c r="M18" s="8" t="s">
        <v>61</v>
      </c>
      <c r="N18" s="9" t="s">
        <v>641</v>
      </c>
      <c r="O18" s="9" t="s">
        <v>642</v>
      </c>
    </row>
    <row r="19" customFormat="false" ht="23.85" hidden="false" customHeight="false" outlineLevel="0" collapsed="false">
      <c r="A19" s="8" t="n">
        <v>14</v>
      </c>
      <c r="B19" s="9" t="s">
        <v>643</v>
      </c>
      <c r="C19" s="9" t="s">
        <v>644</v>
      </c>
      <c r="D19" s="9" t="s">
        <v>645</v>
      </c>
      <c r="E19" s="10" t="s">
        <v>54</v>
      </c>
      <c r="F19" s="11" t="n">
        <v>1</v>
      </c>
      <c r="G19" s="8" t="n">
        <v>1</v>
      </c>
      <c r="H19" s="12" t="n">
        <v>0</v>
      </c>
      <c r="I19" s="12" t="n">
        <f aca="false">G19*H19</f>
        <v>0</v>
      </c>
      <c r="J19" s="13" t="n">
        <v>0</v>
      </c>
      <c r="K19" s="13" t="n">
        <f aca="false">G19*J19</f>
        <v>0</v>
      </c>
      <c r="L19" s="13" t="n">
        <f aca="false">K19*F19</f>
        <v>0</v>
      </c>
      <c r="M19" s="8" t="s">
        <v>74</v>
      </c>
      <c r="N19" s="9" t="s">
        <v>646</v>
      </c>
      <c r="O19" s="9" t="s">
        <v>647</v>
      </c>
    </row>
    <row r="20" customFormat="false" ht="15" hidden="false" customHeight="false" outlineLevel="0" collapsed="false">
      <c r="A20" s="6" t="s">
        <v>648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customFormat="false" ht="23.85" hidden="false" customHeight="false" outlineLevel="0" collapsed="false">
      <c r="A21" s="8" t="n">
        <v>15</v>
      </c>
      <c r="B21" s="9" t="s">
        <v>649</v>
      </c>
      <c r="C21" s="9" t="s">
        <v>650</v>
      </c>
      <c r="D21" s="9" t="s">
        <v>651</v>
      </c>
      <c r="E21" s="10" t="s">
        <v>54</v>
      </c>
      <c r="F21" s="11" t="n">
        <v>1</v>
      </c>
      <c r="G21" s="8" t="n">
        <v>1</v>
      </c>
      <c r="H21" s="12" t="n">
        <v>0</v>
      </c>
      <c r="I21" s="12" t="n">
        <f aca="false">G21*H21</f>
        <v>0</v>
      </c>
      <c r="J21" s="13" t="n">
        <v>5000</v>
      </c>
      <c r="K21" s="13" t="n">
        <f aca="false">G21*J21</f>
        <v>5000</v>
      </c>
      <c r="L21" s="13" t="n">
        <f aca="false">K21*F21</f>
        <v>5000</v>
      </c>
      <c r="M21" s="8" t="s">
        <v>631</v>
      </c>
      <c r="N21" s="9" t="s">
        <v>652</v>
      </c>
      <c r="O21" s="9" t="s">
        <v>61</v>
      </c>
    </row>
    <row r="22" customFormat="false" ht="46.25" hidden="false" customHeight="false" outlineLevel="0" collapsed="false">
      <c r="A22" s="8" t="n">
        <v>16</v>
      </c>
      <c r="B22" s="9" t="s">
        <v>653</v>
      </c>
      <c r="C22" s="9" t="s">
        <v>654</v>
      </c>
      <c r="D22" s="9" t="s">
        <v>655</v>
      </c>
      <c r="E22" s="10" t="s">
        <v>54</v>
      </c>
      <c r="F22" s="11" t="n">
        <v>1</v>
      </c>
      <c r="G22" s="8" t="n">
        <v>1</v>
      </c>
      <c r="H22" s="12" t="n">
        <v>0</v>
      </c>
      <c r="I22" s="12" t="n">
        <f aca="false">G22*H22</f>
        <v>0</v>
      </c>
      <c r="J22" s="13" t="n">
        <v>10000</v>
      </c>
      <c r="K22" s="13" t="n">
        <f aca="false">G22*J22</f>
        <v>10000</v>
      </c>
      <c r="L22" s="13" t="n">
        <f aca="false">K22*F22</f>
        <v>10000</v>
      </c>
      <c r="M22" s="8" t="s">
        <v>206</v>
      </c>
      <c r="N22" s="9" t="s">
        <v>656</v>
      </c>
      <c r="O22" s="9" t="s">
        <v>657</v>
      </c>
    </row>
    <row r="23" customFormat="false" ht="23.85" hidden="false" customHeight="false" outlineLevel="0" collapsed="false">
      <c r="A23" s="8" t="n">
        <v>17</v>
      </c>
      <c r="B23" s="9" t="s">
        <v>658</v>
      </c>
      <c r="C23" s="9" t="s">
        <v>659</v>
      </c>
      <c r="D23" s="9" t="s">
        <v>660</v>
      </c>
      <c r="E23" s="10" t="s">
        <v>54</v>
      </c>
      <c r="F23" s="11" t="n">
        <v>1</v>
      </c>
      <c r="G23" s="8" t="n">
        <v>1</v>
      </c>
      <c r="H23" s="12" t="n">
        <v>0</v>
      </c>
      <c r="I23" s="12" t="n">
        <f aca="false">G23*H23</f>
        <v>0</v>
      </c>
      <c r="J23" s="13" t="n">
        <v>25000</v>
      </c>
      <c r="K23" s="13" t="n">
        <f aca="false">G23*J23</f>
        <v>25000</v>
      </c>
      <c r="L23" s="13" t="n">
        <f aca="false">K23*F23</f>
        <v>25000</v>
      </c>
      <c r="M23" s="8" t="s">
        <v>48</v>
      </c>
      <c r="N23" s="9" t="s">
        <v>661</v>
      </c>
      <c r="O23" s="9" t="s">
        <v>61</v>
      </c>
    </row>
    <row r="24" customFormat="false" ht="15" hidden="false" customHeight="false" outlineLevel="0" collapsed="false">
      <c r="B24" s="16" t="s">
        <v>274</v>
      </c>
      <c r="F24" s="17" t="n">
        <f aca="false">L24/K24</f>
        <v>0.971428571428571</v>
      </c>
      <c r="I24" s="18" t="n">
        <f aca="false">SUM(I5:I23)</f>
        <v>0</v>
      </c>
      <c r="K24" s="19" t="n">
        <f aca="false">SUM(K5:K23)</f>
        <v>140000</v>
      </c>
      <c r="L24" s="19" t="n">
        <f aca="false">SUM(L5:L23)</f>
        <v>136000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" t="s">
        <v>662</v>
      </c>
    </row>
    <row r="2" customFormat="false" ht="15" hidden="false" customHeight="false" outlineLevel="0" collapsed="false">
      <c r="A2" s="2" t="s">
        <v>663</v>
      </c>
    </row>
    <row r="4" customFormat="false" ht="31.5" hidden="false" customHeight="true" outlineLevel="0" collapsed="false">
      <c r="A4" s="5" t="s">
        <v>22</v>
      </c>
      <c r="B4" s="5" t="s">
        <v>664</v>
      </c>
      <c r="C4" s="5" t="s">
        <v>665</v>
      </c>
      <c r="D4" s="5" t="s">
        <v>666</v>
      </c>
      <c r="E4" s="5" t="s">
        <v>667</v>
      </c>
      <c r="F4" s="5" t="s">
        <v>668</v>
      </c>
      <c r="G4" s="5" t="s">
        <v>669</v>
      </c>
    </row>
    <row r="5" customFormat="false" ht="23.85" hidden="false" customHeight="false" outlineLevel="0" collapsed="false">
      <c r="A5" s="20" t="n">
        <v>1</v>
      </c>
      <c r="B5" s="20" t="s">
        <v>670</v>
      </c>
      <c r="C5" s="21" t="n">
        <v>1187</v>
      </c>
      <c r="D5" s="22" t="n">
        <v>1240</v>
      </c>
      <c r="E5" s="23"/>
      <c r="F5" s="24" t="n">
        <f aca="false">D5-C5</f>
        <v>53</v>
      </c>
      <c r="G5" s="25" t="s">
        <v>671</v>
      </c>
    </row>
    <row r="6" customFormat="false" ht="15" hidden="false" customHeight="false" outlineLevel="0" collapsed="false">
      <c r="A6" s="20" t="n">
        <v>2</v>
      </c>
      <c r="B6" s="20" t="s">
        <v>672</v>
      </c>
      <c r="C6" s="21" t="n">
        <v>934</v>
      </c>
      <c r="D6" s="22" t="n">
        <v>1032</v>
      </c>
      <c r="E6" s="23"/>
      <c r="F6" s="24" t="n">
        <f aca="false">D6-C6</f>
        <v>98</v>
      </c>
      <c r="G6" s="25" t="s">
        <v>673</v>
      </c>
    </row>
    <row r="7" customFormat="false" ht="15" hidden="false" customHeight="false" outlineLevel="0" collapsed="false">
      <c r="A7" s="20" t="n">
        <v>3</v>
      </c>
      <c r="B7" s="20" t="s">
        <v>674</v>
      </c>
      <c r="C7" s="21" t="n">
        <v>1724</v>
      </c>
      <c r="D7" s="22" t="n">
        <v>1780</v>
      </c>
      <c r="E7" s="23"/>
      <c r="F7" s="24" t="n">
        <f aca="false">D7-C7</f>
        <v>56</v>
      </c>
      <c r="G7" s="25" t="s">
        <v>675</v>
      </c>
    </row>
    <row r="8" customFormat="false" ht="15" hidden="false" customHeight="false" outlineLevel="0" collapsed="false">
      <c r="A8" s="20" t="n">
        <v>4</v>
      </c>
      <c r="B8" s="20" t="s">
        <v>676</v>
      </c>
      <c r="C8" s="21" t="n">
        <v>217</v>
      </c>
      <c r="D8" s="22" t="n">
        <v>262</v>
      </c>
      <c r="E8" s="23"/>
      <c r="F8" s="24" t="n">
        <f aca="false">D8-C8</f>
        <v>45</v>
      </c>
      <c r="G8" s="25" t="s">
        <v>677</v>
      </c>
    </row>
    <row r="9" customFormat="false" ht="15" hidden="false" customHeight="false" outlineLevel="0" collapsed="false">
      <c r="A9" s="20" t="n">
        <v>5</v>
      </c>
      <c r="B9" s="20" t="s">
        <v>678</v>
      </c>
      <c r="C9" s="21" t="n">
        <v>444</v>
      </c>
      <c r="D9" s="22" t="n">
        <v>460</v>
      </c>
      <c r="E9" s="23"/>
      <c r="F9" s="24" t="n">
        <f aca="false">D9-C9</f>
        <v>16</v>
      </c>
      <c r="G9" s="25" t="s">
        <v>679</v>
      </c>
    </row>
    <row r="10" customFormat="false" ht="15" hidden="false" customHeight="false" outlineLevel="0" collapsed="false">
      <c r="A10" s="20" t="n">
        <v>6</v>
      </c>
      <c r="B10" s="20" t="s">
        <v>680</v>
      </c>
      <c r="C10" s="21" t="n">
        <v>119</v>
      </c>
      <c r="D10" s="22" t="n">
        <v>117</v>
      </c>
      <c r="E10" s="23"/>
      <c r="F10" s="24" t="n">
        <f aca="false">D10-C10</f>
        <v>-2</v>
      </c>
      <c r="G10" s="25" t="s">
        <v>681</v>
      </c>
    </row>
    <row r="11" customFormat="false" ht="15" hidden="false" customHeight="false" outlineLevel="0" collapsed="false">
      <c r="A11" s="20" t="n">
        <v>7</v>
      </c>
      <c r="B11" s="20" t="s">
        <v>682</v>
      </c>
      <c r="C11" s="21" t="n">
        <v>240</v>
      </c>
      <c r="D11" s="22" t="n">
        <v>242</v>
      </c>
      <c r="E11" s="23"/>
      <c r="F11" s="24" t="n">
        <f aca="false">D11-C11</f>
        <v>2</v>
      </c>
      <c r="G11" s="25" t="s">
        <v>683</v>
      </c>
    </row>
    <row r="12" customFormat="false" ht="15" hidden="false" customHeight="false" outlineLevel="0" collapsed="false">
      <c r="A12" s="20" t="n">
        <v>8</v>
      </c>
      <c r="B12" s="20" t="s">
        <v>684</v>
      </c>
      <c r="C12" s="21" t="n">
        <v>800</v>
      </c>
      <c r="D12" s="22" t="n">
        <v>800</v>
      </c>
      <c r="E12" s="23"/>
      <c r="F12" s="24" t="n">
        <f aca="false">D12-C12</f>
        <v>0</v>
      </c>
      <c r="G12" s="25" t="s">
        <v>685</v>
      </c>
    </row>
    <row r="14" customFormat="false" ht="15" hidden="false" customHeight="false" outlineLevel="0" collapsed="false">
      <c r="B14" s="16" t="s">
        <v>686</v>
      </c>
      <c r="D14" s="19" t="n">
        <f aca="false">SUM(D5:D12)</f>
        <v>5933</v>
      </c>
    </row>
    <row r="15" customFormat="false" ht="15" hidden="false" customHeight="false" outlineLevel="0" collapsed="false">
      <c r="B15" s="26" t="s">
        <v>687</v>
      </c>
      <c r="D15" s="27" t="n">
        <f aca="false">'01 Air Vehicle BOM'!I58</f>
        <v>5936</v>
      </c>
    </row>
    <row r="16" customFormat="false" ht="15" hidden="false" customHeight="false" outlineLevel="0" collapsed="false">
      <c r="B16" s="26" t="s">
        <v>688</v>
      </c>
      <c r="D16" s="27" t="n">
        <f aca="false">3</f>
        <v>3</v>
      </c>
    </row>
    <row r="17" customFormat="false" ht="15" hidden="false" customHeight="false" outlineLevel="0" collapsed="false">
      <c r="B17" s="16" t="s">
        <v>689</v>
      </c>
      <c r="D17" s="19" t="n">
        <f aca="false">D14*D16</f>
        <v>17799</v>
      </c>
    </row>
    <row r="18" customFormat="false" ht="15" hidden="false" customHeight="false" outlineLevel="0" collapsed="false">
      <c r="B18" s="26" t="s">
        <v>690</v>
      </c>
      <c r="D18" s="27" t="n">
        <f aca="false">25000</f>
        <v>25000</v>
      </c>
    </row>
    <row r="19" customFormat="false" ht="15" hidden="false" customHeight="false" outlineLevel="0" collapsed="false">
      <c r="B19" s="16" t="s">
        <v>691</v>
      </c>
      <c r="D19" s="19" t="n">
        <f aca="false">D18-D17</f>
        <v>7201</v>
      </c>
    </row>
    <row r="20" customFormat="false" ht="15" hidden="false" customHeight="false" outlineLevel="0" collapsed="false">
      <c r="B20" s="16" t="s">
        <v>692</v>
      </c>
      <c r="D20" s="28" t="n">
        <f aca="false">(D18-D17)/D18</f>
        <v>0.28804</v>
      </c>
    </row>
    <row r="21" customFormat="false" ht="15" hidden="false" customHeight="false" outlineLevel="0" collapsed="false">
      <c r="B21" s="16" t="s">
        <v>693</v>
      </c>
      <c r="D21" s="29" t="n">
        <f aca="false">D14-5665</f>
        <v>268</v>
      </c>
    </row>
    <row r="23" customFormat="false" ht="15" hidden="false" customHeight="false" outlineLevel="0" collapsed="false">
      <c r="B23" s="16" t="s">
        <v>694</v>
      </c>
    </row>
    <row r="24" customFormat="false" ht="15" hidden="false" customHeight="false" outlineLevel="0" collapsed="false">
      <c r="B24" s="30" t="s">
        <v>695</v>
      </c>
      <c r="C24" s="30"/>
      <c r="D24" s="30"/>
      <c r="E24" s="30"/>
      <c r="F24" s="30"/>
      <c r="G24" s="30"/>
    </row>
    <row r="25" customFormat="false" ht="15" hidden="false" customHeight="false" outlineLevel="0" collapsed="false">
      <c r="B25" s="30" t="s">
        <v>696</v>
      </c>
      <c r="C25" s="30"/>
      <c r="D25" s="30"/>
      <c r="E25" s="30"/>
      <c r="F25" s="30"/>
      <c r="G25" s="30"/>
    </row>
    <row r="26" customFormat="false" ht="15" hidden="false" customHeight="false" outlineLevel="0" collapsed="false">
      <c r="B26" s="30" t="s">
        <v>697</v>
      </c>
      <c r="C26" s="30"/>
      <c r="D26" s="30"/>
      <c r="E26" s="30"/>
      <c r="F26" s="30"/>
      <c r="G26" s="30"/>
    </row>
    <row r="27" customFormat="false" ht="15" hidden="false" customHeight="false" outlineLevel="0" collapsed="false">
      <c r="B27" s="30" t="s">
        <v>698</v>
      </c>
      <c r="C27" s="30"/>
      <c r="D27" s="30"/>
      <c r="E27" s="30"/>
      <c r="F27" s="30"/>
      <c r="G27" s="30"/>
    </row>
    <row r="28" customFormat="false" ht="15" hidden="false" customHeight="false" outlineLevel="0" collapsed="false">
      <c r="B28" s="30" t="s">
        <v>699</v>
      </c>
      <c r="C28" s="30"/>
      <c r="D28" s="30"/>
      <c r="E28" s="30"/>
      <c r="F28" s="30"/>
      <c r="G28" s="30"/>
    </row>
  </sheetData>
  <mergeCells count="5"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700</v>
      </c>
    </row>
    <row r="2" customFormat="false" ht="15" hidden="false" customHeight="false" outlineLevel="0" collapsed="false">
      <c r="A2" s="2" t="s">
        <v>701</v>
      </c>
    </row>
    <row r="4" customFormat="false" ht="31.5" hidden="false" customHeight="true" outlineLevel="0" collapsed="false">
      <c r="A4" s="5" t="s">
        <v>22</v>
      </c>
      <c r="B4" s="5" t="s">
        <v>702</v>
      </c>
      <c r="C4" s="5" t="s">
        <v>703</v>
      </c>
      <c r="D4" s="5" t="s">
        <v>704</v>
      </c>
      <c r="E4" s="5" t="s">
        <v>705</v>
      </c>
      <c r="F4" s="5" t="s">
        <v>706</v>
      </c>
      <c r="G4" s="5" t="s">
        <v>669</v>
      </c>
    </row>
    <row r="5" customFormat="false" ht="15" hidden="false" customHeight="false" outlineLevel="0" collapsed="false">
      <c r="A5" s="20" t="n">
        <v>1</v>
      </c>
      <c r="B5" s="20" t="s">
        <v>707</v>
      </c>
      <c r="C5" s="31" t="n">
        <v>3</v>
      </c>
      <c r="D5" s="21" t="n">
        <f aca="false">'01 Air Vehicle BOM'!K58</f>
        <v>267900</v>
      </c>
      <c r="E5" s="21" t="n">
        <f aca="false">C5*D5</f>
        <v>803700</v>
      </c>
      <c r="F5" s="21" t="n">
        <f aca="false">C5*'01 Air Vehicle BOM'!L58</f>
        <v>456135</v>
      </c>
      <c r="G5" s="25" t="s">
        <v>708</v>
      </c>
    </row>
    <row r="6" customFormat="false" ht="15" hidden="false" customHeight="false" outlineLevel="0" collapsed="false">
      <c r="A6" s="20" t="n">
        <v>2</v>
      </c>
      <c r="B6" s="20" t="s">
        <v>709</v>
      </c>
      <c r="C6" s="31" t="n">
        <v>1</v>
      </c>
      <c r="D6" s="21" t="n">
        <f aca="false">'02 Payload &amp; Kits'!K15</f>
        <v>40880</v>
      </c>
      <c r="E6" s="21" t="n">
        <f aca="false">C6*D6</f>
        <v>40880</v>
      </c>
      <c r="F6" s="21" t="n">
        <f aca="false">C6*'02 Payload &amp; Kits'!L15</f>
        <v>40880</v>
      </c>
      <c r="G6" s="25" t="s">
        <v>710</v>
      </c>
    </row>
    <row r="7" customFormat="false" ht="15" hidden="false" customHeight="false" outlineLevel="0" collapsed="false">
      <c r="A7" s="20" t="n">
        <v>3</v>
      </c>
      <c r="B7" s="20" t="s">
        <v>711</v>
      </c>
      <c r="C7" s="31" t="n">
        <v>1</v>
      </c>
      <c r="D7" s="21" t="n">
        <f aca="false">'03 Ground Segment'!K31</f>
        <v>506300</v>
      </c>
      <c r="E7" s="21" t="n">
        <f aca="false">C7*D7</f>
        <v>506300</v>
      </c>
      <c r="F7" s="21" t="n">
        <f aca="false">C7*'03 Ground Segment'!L31</f>
        <v>287520</v>
      </c>
      <c r="G7" s="25" t="s">
        <v>712</v>
      </c>
    </row>
    <row r="8" customFormat="false" ht="15" hidden="false" customHeight="false" outlineLevel="0" collapsed="false">
      <c r="A8" s="20" t="n">
        <v>4</v>
      </c>
      <c r="B8" s="20" t="s">
        <v>713</v>
      </c>
      <c r="C8" s="31" t="n">
        <v>1</v>
      </c>
      <c r="D8" s="21" t="n">
        <f aca="false">'04 Test &amp; Lab Equipment'!K29</f>
        <v>444900</v>
      </c>
      <c r="E8" s="21" t="n">
        <f aca="false">C8*D8</f>
        <v>444900</v>
      </c>
      <c r="F8" s="21" t="n">
        <f aca="false">C8*'04 Test &amp; Lab Equipment'!L29</f>
        <v>217720</v>
      </c>
      <c r="G8" s="25" t="s">
        <v>714</v>
      </c>
    </row>
    <row r="9" customFormat="false" ht="15" hidden="false" customHeight="false" outlineLevel="0" collapsed="false">
      <c r="A9" s="20" t="n">
        <v>5</v>
      </c>
      <c r="B9" s="20" t="s">
        <v>715</v>
      </c>
      <c r="C9" s="31" t="n">
        <v>1</v>
      </c>
      <c r="D9" s="21" t="n">
        <f aca="false">'05 Spares &amp; Consumables'!K22</f>
        <v>429600</v>
      </c>
      <c r="E9" s="21" t="n">
        <f aca="false">C9*D9</f>
        <v>429600</v>
      </c>
      <c r="F9" s="21" t="n">
        <f aca="false">C9*'05 Spares &amp; Consumables'!L22</f>
        <v>286480</v>
      </c>
      <c r="G9" s="25" t="s">
        <v>716</v>
      </c>
    </row>
    <row r="10" customFormat="false" ht="15" hidden="false" customHeight="false" outlineLevel="0" collapsed="false">
      <c r="A10" s="20" t="n">
        <v>6</v>
      </c>
      <c r="B10" s="20" t="s">
        <v>717</v>
      </c>
      <c r="C10" s="31" t="n">
        <v>1</v>
      </c>
      <c r="D10" s="21" t="n">
        <f aca="false">'06 Software &amp; Data'!K24</f>
        <v>140000</v>
      </c>
      <c r="E10" s="21" t="n">
        <f aca="false">C10*D10</f>
        <v>140000</v>
      </c>
      <c r="F10" s="21" t="n">
        <f aca="false">C10*'06 Software &amp; Data'!L24</f>
        <v>136000</v>
      </c>
      <c r="G10" s="25" t="s">
        <v>718</v>
      </c>
    </row>
    <row r="12" customFormat="false" ht="15" hidden="false" customHeight="false" outlineLevel="0" collapsed="false">
      <c r="B12" s="16" t="s">
        <v>719</v>
      </c>
      <c r="E12" s="19" t="n">
        <f aca="false">SUM(E5:E10)</f>
        <v>2365380</v>
      </c>
      <c r="G12" s="32"/>
    </row>
    <row r="13" customFormat="false" ht="15" hidden="false" customHeight="false" outlineLevel="0" collapsed="false">
      <c r="B13" s="16" t="s">
        <v>720</v>
      </c>
      <c r="F13" s="19" t="n">
        <f aca="false">SUM(F5:F10)</f>
        <v>1424735</v>
      </c>
      <c r="G13" s="32"/>
    </row>
    <row r="14" customFormat="false" ht="22.35" hidden="false" customHeight="false" outlineLevel="0" collapsed="false">
      <c r="B14" s="16" t="s">
        <v>721</v>
      </c>
      <c r="E14" s="33" t="n">
        <f aca="false">(E12-F13)*0.22</f>
        <v>206941.9</v>
      </c>
      <c r="G14" s="32" t="s">
        <v>722</v>
      </c>
    </row>
    <row r="15" customFormat="false" ht="15" hidden="false" customHeight="false" outlineLevel="0" collapsed="false">
      <c r="B15" s="16" t="s">
        <v>723</v>
      </c>
      <c r="E15" s="33" t="n">
        <f aca="false">(E12+E14)*0.18</f>
        <v>463017.942</v>
      </c>
      <c r="G15" s="32" t="s">
        <v>724</v>
      </c>
    </row>
    <row r="16" customFormat="false" ht="15" hidden="false" customHeight="false" outlineLevel="0" collapsed="false">
      <c r="B16" s="16" t="s">
        <v>725</v>
      </c>
      <c r="E16" s="33" t="n">
        <f aca="false">(E12+E14+E15)*0.2</f>
        <v>607067.9684</v>
      </c>
      <c r="G16" s="32" t="s">
        <v>726</v>
      </c>
    </row>
    <row r="17" customFormat="false" ht="15" hidden="false" customHeight="false" outlineLevel="0" collapsed="false">
      <c r="B17" s="16" t="s">
        <v>727</v>
      </c>
      <c r="E17" s="34" t="n">
        <f aca="false">E12+E14+E15+E16</f>
        <v>3642407.8104</v>
      </c>
      <c r="G17" s="32"/>
    </row>
    <row r="19" customFormat="false" ht="15" hidden="false" customHeight="false" outlineLevel="0" collapsed="false">
      <c r="B19" s="16" t="s">
        <v>728</v>
      </c>
    </row>
    <row r="20" customFormat="false" ht="15" hidden="false" customHeight="false" outlineLevel="0" collapsed="false">
      <c r="B20" s="30" t="s">
        <v>729</v>
      </c>
      <c r="C20" s="30"/>
      <c r="D20" s="30"/>
      <c r="E20" s="30"/>
      <c r="F20" s="30"/>
      <c r="G20" s="30"/>
    </row>
    <row r="21" customFormat="false" ht="15" hidden="false" customHeight="false" outlineLevel="0" collapsed="false">
      <c r="B21" s="30" t="s">
        <v>730</v>
      </c>
      <c r="C21" s="30"/>
      <c r="D21" s="30"/>
      <c r="E21" s="30"/>
      <c r="F21" s="30"/>
      <c r="G21" s="30"/>
    </row>
    <row r="22" customFormat="false" ht="15" hidden="false" customHeight="false" outlineLevel="0" collapsed="false">
      <c r="B22" s="30" t="s">
        <v>731</v>
      </c>
      <c r="C22" s="30"/>
      <c r="D22" s="30"/>
      <c r="E22" s="30"/>
      <c r="F22" s="30"/>
      <c r="G22" s="30"/>
    </row>
    <row r="23" customFormat="false" ht="15" hidden="false" customHeight="false" outlineLevel="0" collapsed="false">
      <c r="B23" s="30" t="s">
        <v>732</v>
      </c>
      <c r="C23" s="30"/>
      <c r="D23" s="30"/>
      <c r="E23" s="30"/>
      <c r="F23" s="30"/>
      <c r="G23" s="30"/>
    </row>
    <row r="24" customFormat="false" ht="15" hidden="false" customHeight="false" outlineLevel="0" collapsed="false">
      <c r="B24" s="30" t="s">
        <v>733</v>
      </c>
      <c r="C24" s="30"/>
      <c r="D24" s="30"/>
      <c r="E24" s="30"/>
      <c r="F24" s="30"/>
      <c r="G24" s="30"/>
    </row>
  </sheetData>
  <mergeCells count="5"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734</v>
      </c>
    </row>
    <row r="2" customFormat="false" ht="15" hidden="false" customHeight="false" outlineLevel="0" collapsed="false">
      <c r="A2" s="2" t="s">
        <v>735</v>
      </c>
    </row>
    <row r="4" customFormat="false" ht="31.5" hidden="false" customHeight="true" outlineLevel="0" collapsed="false">
      <c r="A4" s="5" t="s">
        <v>22</v>
      </c>
      <c r="B4" s="5" t="s">
        <v>702</v>
      </c>
      <c r="C4" s="5" t="s">
        <v>736</v>
      </c>
      <c r="D4" s="5" t="s">
        <v>737</v>
      </c>
      <c r="E4" s="5" t="s">
        <v>738</v>
      </c>
      <c r="F4" s="5" t="s">
        <v>739</v>
      </c>
    </row>
    <row r="5" customFormat="false" ht="15" hidden="false" customHeight="false" outlineLevel="0" collapsed="false">
      <c r="A5" s="20" t="n">
        <v>1</v>
      </c>
      <c r="B5" s="20" t="s">
        <v>740</v>
      </c>
      <c r="C5" s="21" t="n">
        <f aca="false">'01 Air Vehicle BOM'!K58*3</f>
        <v>803700</v>
      </c>
      <c r="D5" s="21" t="n">
        <f aca="false">'01 Air Vehicle BOM'!L58*3</f>
        <v>456135</v>
      </c>
      <c r="E5" s="35" t="n">
        <f aca="false">IF(C5=0,"",D5/C5)</f>
        <v>0.567543859649123</v>
      </c>
      <c r="F5" s="25" t="s">
        <v>741</v>
      </c>
    </row>
    <row r="6" customFormat="false" ht="15" hidden="false" customHeight="false" outlineLevel="0" collapsed="false">
      <c r="A6" s="20" t="n">
        <v>2</v>
      </c>
      <c r="B6" s="20" t="s">
        <v>742</v>
      </c>
      <c r="C6" s="21" t="n">
        <f aca="false">'02 Payload &amp; Kits'!K15</f>
        <v>40880</v>
      </c>
      <c r="D6" s="21" t="n">
        <f aca="false">'02 Payload &amp; Kits'!L15</f>
        <v>40880</v>
      </c>
      <c r="E6" s="35" t="n">
        <f aca="false">IF(C6=0,"",D6/C6)</f>
        <v>1</v>
      </c>
      <c r="F6" s="25" t="s">
        <v>743</v>
      </c>
    </row>
    <row r="7" customFormat="false" ht="15" hidden="false" customHeight="false" outlineLevel="0" collapsed="false">
      <c r="A7" s="20" t="n">
        <v>3</v>
      </c>
      <c r="B7" s="20" t="s">
        <v>744</v>
      </c>
      <c r="C7" s="21" t="n">
        <f aca="false">'03 Ground Segment'!K31</f>
        <v>506300</v>
      </c>
      <c r="D7" s="21" t="n">
        <f aca="false">'03 Ground Segment'!L31</f>
        <v>287520</v>
      </c>
      <c r="E7" s="35" t="n">
        <f aca="false">IF(C7=0,"",D7/C7)</f>
        <v>0.567884653367569</v>
      </c>
      <c r="F7" s="25" t="s">
        <v>745</v>
      </c>
    </row>
    <row r="8" customFormat="false" ht="15" hidden="false" customHeight="false" outlineLevel="0" collapsed="false">
      <c r="A8" s="20" t="n">
        <v>4</v>
      </c>
      <c r="B8" s="20" t="s">
        <v>746</v>
      </c>
      <c r="C8" s="21" t="n">
        <f aca="false">'04 Test &amp; Lab Equipment'!K29</f>
        <v>444900</v>
      </c>
      <c r="D8" s="21" t="n">
        <f aca="false">'04 Test &amp; Lab Equipment'!L29</f>
        <v>217720</v>
      </c>
      <c r="E8" s="35" t="n">
        <f aca="false">IF(C8=0,"",D8/C8)</f>
        <v>0.489368397392673</v>
      </c>
      <c r="F8" s="25" t="s">
        <v>747</v>
      </c>
    </row>
    <row r="9" customFormat="false" ht="15" hidden="false" customHeight="false" outlineLevel="0" collapsed="false">
      <c r="A9" s="20" t="n">
        <v>5</v>
      </c>
      <c r="B9" s="20" t="s">
        <v>715</v>
      </c>
      <c r="C9" s="21" t="n">
        <f aca="false">'05 Spares &amp; Consumables'!K22</f>
        <v>429600</v>
      </c>
      <c r="D9" s="21" t="n">
        <f aca="false">'05 Spares &amp; Consumables'!L22</f>
        <v>286480</v>
      </c>
      <c r="E9" s="35" t="n">
        <f aca="false">IF(C9=0,"",D9/C9)</f>
        <v>0.666852886405959</v>
      </c>
      <c r="F9" s="25" t="s">
        <v>748</v>
      </c>
    </row>
    <row r="10" customFormat="false" ht="15" hidden="false" customHeight="false" outlineLevel="0" collapsed="false">
      <c r="A10" s="20" t="n">
        <v>6</v>
      </c>
      <c r="B10" s="20" t="s">
        <v>717</v>
      </c>
      <c r="C10" s="21" t="n">
        <f aca="false">'06 Software &amp; Data'!K24</f>
        <v>140000</v>
      </c>
      <c r="D10" s="21" t="n">
        <f aca="false">'06 Software &amp; Data'!L24</f>
        <v>136000</v>
      </c>
      <c r="E10" s="35" t="n">
        <f aca="false">IF(C10=0,"",D10/C10)</f>
        <v>0.971428571428571</v>
      </c>
      <c r="F10" s="25" t="s">
        <v>749</v>
      </c>
    </row>
    <row r="11" customFormat="false" ht="15" hidden="false" customHeight="false" outlineLevel="0" collapsed="false">
      <c r="B11" s="16" t="s">
        <v>750</v>
      </c>
      <c r="C11" s="19" t="n">
        <f aca="false">SUM(C5:C10)</f>
        <v>2365380</v>
      </c>
      <c r="D11" s="19" t="n">
        <f aca="false">SUM(D5:D10)</f>
        <v>1424735</v>
      </c>
      <c r="E11" s="17" t="n">
        <f aca="false">D11/C11</f>
        <v>0.602328167144391</v>
      </c>
    </row>
    <row r="13" customFormat="false" ht="15" hidden="false" customHeight="false" outlineLevel="0" collapsed="false">
      <c r="B13" s="16" t="s">
        <v>751</v>
      </c>
    </row>
    <row r="14" customFormat="false" ht="31.5" hidden="false" customHeight="true" outlineLevel="0" collapsed="false">
      <c r="A14" s="5"/>
      <c r="B14" s="5" t="s">
        <v>26</v>
      </c>
      <c r="C14" s="5" t="s">
        <v>752</v>
      </c>
      <c r="D14" s="5" t="s">
        <v>753</v>
      </c>
      <c r="E14" s="5"/>
      <c r="F14" s="5" t="s">
        <v>754</v>
      </c>
    </row>
    <row r="15" customFormat="false" ht="15" hidden="false" customHeight="false" outlineLevel="0" collapsed="false">
      <c r="B15" s="36" t="s">
        <v>54</v>
      </c>
      <c r="C15" s="21" t="n">
        <f aca="false">COUNTIF('01 Air Vehicle BOM'!E4:E57,"I1")+COUNTIF('02 Payload &amp; Kits'!E4:E14,"I1")+COUNTIF('03 Ground Segment'!E4:E30,"I1")+COUNTIF('04 Test &amp; Lab Equipment'!E4:E28,"I1")+COUNTIF('05 Spares &amp; Consumables'!E4:E21,"I1")+COUNTIF('06 Software &amp; Data'!E4:E23,"I1")</f>
        <v>75</v>
      </c>
      <c r="D15" s="35" t="n">
        <f aca="false">C15/$C$19</f>
        <v>0.568181818181818</v>
      </c>
      <c r="E15" s="37"/>
      <c r="F15" s="25" t="s">
        <v>755</v>
      </c>
    </row>
    <row r="16" customFormat="false" ht="15" hidden="false" customHeight="false" outlineLevel="0" collapsed="false">
      <c r="B16" s="36" t="s">
        <v>41</v>
      </c>
      <c r="C16" s="21" t="n">
        <f aca="false">COUNTIF('01 Air Vehicle BOM'!E4:E57,"I2")+COUNTIF('02 Payload &amp; Kits'!E4:E14,"I2")+COUNTIF('03 Ground Segment'!E4:E30,"I2")+COUNTIF('04 Test &amp; Lab Equipment'!E4:E28,"I2")+COUNTIF('05 Spares &amp; Consumables'!E4:E21,"I2")+COUNTIF('06 Software &amp; Data'!E4:E23,"I2")</f>
        <v>30</v>
      </c>
      <c r="D16" s="35" t="n">
        <f aca="false">C16/$C$19</f>
        <v>0.227272727272727</v>
      </c>
      <c r="E16" s="37"/>
      <c r="F16" s="25" t="s">
        <v>756</v>
      </c>
    </row>
    <row r="17" customFormat="false" ht="15" hidden="false" customHeight="false" outlineLevel="0" collapsed="false">
      <c r="B17" s="38" t="s">
        <v>123</v>
      </c>
      <c r="C17" s="21" t="n">
        <f aca="false">COUNTIF('01 Air Vehicle BOM'!E4:E57,"I3")+COUNTIF('02 Payload &amp; Kits'!E4:E14,"I3")+COUNTIF('03 Ground Segment'!E4:E30,"I3")+COUNTIF('04 Test &amp; Lab Equipment'!E4:E28,"I3")+COUNTIF('05 Spares &amp; Consumables'!E4:E21,"I3")+COUNTIF('06 Software &amp; Data'!E4:E23,"I3")</f>
        <v>21</v>
      </c>
      <c r="D17" s="35" t="n">
        <f aca="false">C17/$C$19</f>
        <v>0.159090909090909</v>
      </c>
      <c r="E17" s="37"/>
      <c r="F17" s="25" t="s">
        <v>757</v>
      </c>
    </row>
    <row r="18" customFormat="false" ht="15" hidden="false" customHeight="false" outlineLevel="0" collapsed="false">
      <c r="B18" s="39" t="s">
        <v>159</v>
      </c>
      <c r="C18" s="21" t="n">
        <f aca="false">COUNTIF('01 Air Vehicle BOM'!E4:E57,"I4")+COUNTIF('02 Payload &amp; Kits'!E4:E14,"I4")+COUNTIF('03 Ground Segment'!E4:E30,"I4")+COUNTIF('04 Test &amp; Lab Equipment'!E4:E28,"I4")+COUNTIF('05 Spares &amp; Consumables'!E4:E21,"I4")+COUNTIF('06 Software &amp; Data'!E4:E23,"I4")</f>
        <v>6</v>
      </c>
      <c r="D18" s="35" t="n">
        <f aca="false">C18/$C$19</f>
        <v>0.0454545454545455</v>
      </c>
      <c r="E18" s="37"/>
      <c r="F18" s="25" t="s">
        <v>758</v>
      </c>
    </row>
    <row r="19" customFormat="false" ht="15" hidden="false" customHeight="false" outlineLevel="0" collapsed="false">
      <c r="B19" s="16" t="s">
        <v>274</v>
      </c>
      <c r="C19" s="19" t="n">
        <f aca="false">SUM(C15:C18)</f>
        <v>132</v>
      </c>
      <c r="D19" s="40" t="n">
        <f aca="false">SUM(D15:D18)</f>
        <v>1</v>
      </c>
    </row>
    <row r="20" customFormat="false" ht="15" hidden="false" customHeight="false" outlineLevel="0" collapsed="false">
      <c r="B20" s="41" t="str">
        <f aca="false">CONCATENATE("Lines with an Indian supplier (I1+I2+I3): ",TEXT((C15+C16+C17)/C19,"0.0%"))</f>
        <v>Lines with an Indian supplier (I1+I2+I3): 95.5%</v>
      </c>
      <c r="C20" s="41"/>
      <c r="D20" s="41"/>
      <c r="E20" s="41"/>
      <c r="F20" s="41"/>
    </row>
    <row r="22" customFormat="false" ht="15" hidden="false" customHeight="false" outlineLevel="0" collapsed="false">
      <c r="B22" s="16" t="s">
        <v>759</v>
      </c>
    </row>
    <row r="23" customFormat="false" ht="25.5" hidden="false" customHeight="true" outlineLevel="0" collapsed="false">
      <c r="B23" s="42" t="s">
        <v>760</v>
      </c>
      <c r="C23" s="42"/>
      <c r="D23" s="42"/>
      <c r="E23" s="42"/>
      <c r="F23" s="42"/>
    </row>
    <row r="24" customFormat="false" ht="25.5" hidden="false" customHeight="true" outlineLevel="0" collapsed="false">
      <c r="B24" s="42" t="s">
        <v>761</v>
      </c>
      <c r="C24" s="42"/>
      <c r="D24" s="42"/>
      <c r="E24" s="42"/>
      <c r="F24" s="42"/>
    </row>
    <row r="25" customFormat="false" ht="25.5" hidden="false" customHeight="true" outlineLevel="0" collapsed="false">
      <c r="B25" s="42" t="s">
        <v>762</v>
      </c>
      <c r="C25" s="42"/>
      <c r="D25" s="42"/>
      <c r="E25" s="42"/>
      <c r="F25" s="42"/>
    </row>
    <row r="26" customFormat="false" ht="15" hidden="false" customHeight="true" outlineLevel="0" collapsed="false">
      <c r="B26" s="42" t="s">
        <v>763</v>
      </c>
      <c r="C26" s="42"/>
      <c r="D26" s="42"/>
      <c r="E26" s="42"/>
      <c r="F26" s="42"/>
    </row>
    <row r="27" customFormat="false" ht="15" hidden="false" customHeight="true" outlineLevel="0" collapsed="false">
      <c r="B27" s="43"/>
      <c r="C27" s="43"/>
      <c r="D27" s="43"/>
      <c r="E27" s="43"/>
      <c r="F27" s="43"/>
    </row>
    <row r="28" customFormat="false" ht="39" hidden="false" customHeight="true" outlineLevel="0" collapsed="false">
      <c r="B28" s="42" t="s">
        <v>764</v>
      </c>
      <c r="C28" s="42"/>
      <c r="D28" s="42"/>
      <c r="E28" s="42"/>
      <c r="F28" s="42"/>
    </row>
    <row r="30" customFormat="false" ht="15" hidden="false" customHeight="false" outlineLevel="0" collapsed="false">
      <c r="B30" s="16" t="s">
        <v>765</v>
      </c>
    </row>
    <row r="31" customFormat="false" ht="25.5" hidden="false" customHeight="true" outlineLevel="0" collapsed="false">
      <c r="B31" s="42" t="s">
        <v>766</v>
      </c>
      <c r="C31" s="42"/>
      <c r="D31" s="42"/>
      <c r="E31" s="42"/>
      <c r="F31" s="42"/>
    </row>
    <row r="32" customFormat="false" ht="25.5" hidden="false" customHeight="true" outlineLevel="0" collapsed="false">
      <c r="B32" s="42" t="s">
        <v>767</v>
      </c>
      <c r="C32" s="42"/>
      <c r="D32" s="42"/>
      <c r="E32" s="42"/>
      <c r="F32" s="42"/>
    </row>
    <row r="33" customFormat="false" ht="25.5" hidden="false" customHeight="true" outlineLevel="0" collapsed="false">
      <c r="B33" s="42" t="s">
        <v>768</v>
      </c>
      <c r="C33" s="42"/>
      <c r="D33" s="42"/>
      <c r="E33" s="42"/>
      <c r="F33" s="42"/>
    </row>
    <row r="34" customFormat="false" ht="25.5" hidden="false" customHeight="true" outlineLevel="0" collapsed="false">
      <c r="B34" s="42" t="s">
        <v>769</v>
      </c>
      <c r="C34" s="42"/>
      <c r="D34" s="42"/>
      <c r="E34" s="42"/>
      <c r="F34" s="42"/>
    </row>
  </sheetData>
  <mergeCells count="11">
    <mergeCell ref="B20:F20"/>
    <mergeCell ref="B23:F23"/>
    <mergeCell ref="B24:F24"/>
    <mergeCell ref="B25:F25"/>
    <mergeCell ref="B26:F26"/>
    <mergeCell ref="B27:F27"/>
    <mergeCell ref="B28:F28"/>
    <mergeCell ref="B31:F31"/>
    <mergeCell ref="B32:F32"/>
    <mergeCell ref="B33:F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2026-08-06T06:50:21Z</dcterms:created>
  <dc:creator>openpyxl</dc:creator>
  <dc:description/>
  <dc:language>en-US</dc:language>
  <cp:lastModifiedBy/>
  <dcterms:modified xsi:type="dcterms:W3CDTF">2026-08-06T06:50:21Z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