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01 Air Vehicle BOM" sheetId="2" state="visible" r:id="rId4"/>
    <sheet name="02 Payload &amp; Kits" sheetId="3" state="visible" r:id="rId5"/>
    <sheet name="03 Ground Segment" sheetId="4" state="visible" r:id="rId6"/>
    <sheet name="04 Test &amp; Lab Equipment" sheetId="5" state="visible" r:id="rId7"/>
    <sheet name="05 Spares &amp; Consumables" sheetId="6" state="visible" r:id="rId8"/>
    <sheet name="06 Software &amp; Data" sheetId="7" state="visible" r:id="rId9"/>
    <sheet name="07 Mass Rollup" sheetId="8" state="visible" r:id="rId10"/>
    <sheet name="08 Cost 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<sst xmlns="http://schemas.openxmlformats.org/spreadsheetml/2006/main" count="1182" uniqueCount="823">
  <si>
    <t xml:space="preserve">RescueSwarm — Complete Bill of Materials</t>
  </si>
  <si>
    <t xml:space="preserve">NIDAR 2026–27 Track 1 · derived from the Sizing &amp; Calculations report</t>
  </si>
  <si>
    <t xml:space="preserve">PURPOSE</t>
  </si>
  <si>
    <t xml:space="preserve">Every component required to build the 3-aircraft RescueSwarm system, the ground segment, the test rig, and the spares. Quantities and masses are traceable to the sizing model.</t>
  </si>
  <si>
    <t xml:space="preserve">DESIGN POINT</t>
  </si>
  <si>
    <t xml:space="preserve">Quadrotor · 18x6.1 CF folding props · T-Motor MN5008 KV170 · 6S3P 21700 Li-ion (18 cells, 292 Wh) · MTOW 5.71 kg · fleet 17.12 kg against a 25 kg cap (32% margin) · hover 784 W · endurance 17.9 min vs a 7.7 min design mission (2.3x).</t>
  </si>
  <si>
    <t xml:space="preserve">CHANGE FROM THE SIZING REPORT</t>
  </si>
  <si>
    <t xml:space="preserve">The report assumed 20 in props and a 6S2P pack. Real hardware forced two revisions: (1) the MN5008 is rated for 17-18 in props, so the baseline moves to 18x6.1 (hover power 666 W instead of 605 W); (2) 6S2P left only 9% current margin at peak thrust, so the pack goes to 6S3P. Both changes are documented on the Mass Rollup tab. MTOW rises 5.05 -&gt; 5.71 kg; the fleet is still 32% under the cap.</t>
  </si>
  <si>
    <t xml:space="preserve">PRICES</t>
  </si>
  <si>
    <t xml:space="preserve">INDICATIVE BUDGETARY ESTIMATES IN INR, for planning only. They are not quotations. Import duty, GST and freight are added as separate lines on the Cost Summary. Re-price everything at the Phase 1 procurement gate.</t>
  </si>
  <si>
    <t xml:space="preserve">MASSES</t>
  </si>
  <si>
    <t xml:space="preserve">Manufacturer figures where published (marked in the Source column); otherwise engineering estimates. Weigh every part on arrival and update the Actual Mass column — the fleet weigh-in is a pass/fail rule check.</t>
  </si>
  <si>
    <t xml:space="preserve">HOW TO USE</t>
  </si>
  <si>
    <t xml:space="preserve">Blue cells are inputs you should edit. Black cells are formulas. Yellow cells are decisions still open. Fill the "Actual Mass" and "Actual Price" columns as parts arrive; the Mass Rollup and Cost Summary update automatically.</t>
  </si>
  <si>
    <t xml:space="preserve">TIERS</t>
  </si>
  <si>
    <t xml:space="preserve">Where a component has a wide price range (mesh radio, compute, GNSS), three options are listed: A = student budget, B = mid, C = professional. Tier A is costed in the totals. Swapping tiers only requires changing the Include column to 1/0.</t>
  </si>
  <si>
    <t xml:space="preserve">OPEN DECISIONS</t>
  </si>
  <si>
    <t xml:space="preserve">Highlighted yellow: quad vs hex, rolling vs global shutter camera, mesh radio tier, whether an RTK base is permitted by the organisers (see clarification question 1 in the Development Plan).</t>
  </si>
  <si>
    <t xml:space="preserve">TAB GUIDE</t>
  </si>
  <si>
    <t xml:space="preserve">01 Air Vehicle BOM</t>
  </si>
  <si>
    <t xml:space="preserve">Everything on one aircraft. Multiply by 3 for the fleet.</t>
  </si>
  <si>
    <t xml:space="preserve">02 Payload &amp; Kits</t>
  </si>
  <si>
    <t xml:space="preserve">Survivor kits and the release mechanism, fleet quantities.</t>
  </si>
  <si>
    <t xml:space="preserve">03 Ground Segment</t>
  </si>
  <si>
    <t xml:space="preserve">GCS, mesh ground node, RTK base, field infrastructure, safety.</t>
  </si>
  <si>
    <t xml:space="preserve">04 Test &amp; Lab Equipment</t>
  </si>
  <si>
    <t xml:space="preserve">Thrust stand, chargers, instruments, calibration targets.</t>
  </si>
  <si>
    <t xml:space="preserve">05 Spares &amp; Consumables</t>
  </si>
  <si>
    <t xml:space="preserve">What you must have in the field box and on the bench.</t>
  </si>
  <si>
    <t xml:space="preserve">06 Software &amp; Data</t>
  </si>
  <si>
    <t xml:space="preserve">Toolchain, datasets, services. Mostly free — listed so nothing is forgotten.</t>
  </si>
  <si>
    <t xml:space="preserve">07 Mass Rollup</t>
  </si>
  <si>
    <t xml:space="preserve">Per-aircraft and fleet mass, checked against the 25 kg rule.</t>
  </si>
  <si>
    <t xml:space="preserve">08 Cost Summary</t>
  </si>
  <si>
    <t xml:space="preserve">Programme cost by category, with duty/GST/freight and contingency.</t>
  </si>
  <si>
    <t xml:space="preserve">01 — AIR VEHICLE BOM (per aircraft; multiply by 3)</t>
  </si>
  <si>
    <t xml:space="preserve">Masses in grams. Design point: quad, 18x6.1 props, MN5008 KV170, 6S3P 21700 Li-ion, MTOW 5.71 kg. Prices indicative INR, ex-duty.</t>
  </si>
  <si>
    <t xml:space="preserve">#</t>
  </si>
  <si>
    <t xml:space="preserve">Component</t>
  </si>
  <si>
    <t xml:space="preserve">Specification / Part</t>
  </si>
  <si>
    <t xml:space="preserve">Qty</t>
  </si>
  <si>
    <t xml:space="preserve">Unit Mass (g)</t>
  </si>
  <si>
    <t xml:space="preserve">Total Mass (g)</t>
  </si>
  <si>
    <t xml:space="preserve">Unit Price (INR)</t>
  </si>
  <si>
    <t xml:space="preserve">Ext. Price (INR)</t>
  </si>
  <si>
    <t xml:space="preserve">Actual Mass (g)</t>
  </si>
  <si>
    <t xml:space="preserve">Supplier / Source</t>
  </si>
  <si>
    <t xml:space="preserve">Lead Time</t>
  </si>
  <si>
    <t xml:space="preserve">Why this part / sizing reference</t>
  </si>
  <si>
    <t xml:space="preserve">Alternative</t>
  </si>
  <si>
    <t xml:space="preserve">STRUCTURE  — target 1187 g (23.5% of MTOW), see Sizing §5</t>
  </si>
  <si>
    <t xml:space="preserve">Arm tube</t>
  </si>
  <si>
    <t xml:space="preserve">Carbon fibre round tube 25 mm OD x 23 mm ID x 400 mm</t>
  </si>
  <si>
    <t xml:space="preserve">CF tube supplier / Hindoostan</t>
  </si>
  <si>
    <t xml:space="preserve">2 wk</t>
  </si>
  <si>
    <t xml:space="preserve">Sizing §13: arm root moment 9.4 N·m at T/W=2 gives 22 MPa vs ~600 MPa UD carbon, SF 28. Bending is not the driver; the clamp joint is.</t>
  </si>
  <si>
    <t xml:space="preserve">20x18 mm tube saves 40 g; SF still &gt;15</t>
  </si>
  <si>
    <t xml:space="preserve">Centre plate</t>
  </si>
  <si>
    <t xml:space="preserve">CF sandwich 2.5 mm, CNC cut, top + bottom</t>
  </si>
  <si>
    <t xml:space="preserve">CNC CF cutting service</t>
  </si>
  <si>
    <t xml:space="preserve">3 wk</t>
  </si>
  <si>
    <t xml:space="preserve">Carries all four arm clamps and the battery tray. Custom cut — rule C3 forbids a market-ready airframe.</t>
  </si>
  <si>
    <t xml:space="preserve">3 mm 3K twill if stiffness is short</t>
  </si>
  <si>
    <t xml:space="preserve">Arm clamp set</t>
  </si>
  <si>
    <t xml:space="preserve">Machined Al 6061 or CF clamp, 25 mm bore, with anti-rotation key</t>
  </si>
  <si>
    <t xml:space="preserve">Machine shop / T-Motor</t>
  </si>
  <si>
    <t xml:space="preserve">Highest-risk mechanical joint on the aircraft. Must not creep under vibration.</t>
  </si>
  <si>
    <t xml:space="preserve">Folding clamp adds 25 g, aids transport</t>
  </si>
  <si>
    <t xml:space="preserve">Motor mount plate</t>
  </si>
  <si>
    <t xml:space="preserve">CF 3 mm, 25 mm tube saddle, M3 x 4 pattern</t>
  </si>
  <si>
    <t xml:space="preserve">Interfaces MN5008 3-hole 120° pattern to the arm.</t>
  </si>
  <si>
    <t xml:space="preserve">Integrated into arm clamp</t>
  </si>
  <si>
    <t xml:space="preserve">Landing gear leg</t>
  </si>
  <si>
    <t xml:space="preserve">CF tube 16 mm x 300 mm with damped foot</t>
  </si>
  <si>
    <t xml:space="preserve">CF tube supplier</t>
  </si>
  <si>
    <t xml:space="preserve">Must absorb a 1.5 m/s touchdown at 5.71 kg and keep the payload magazine clear of the ground.</t>
  </si>
  <si>
    <t xml:space="preserve">Sprung skid; +40 g</t>
  </si>
  <si>
    <t xml:space="preserve">Landing foot</t>
  </si>
  <si>
    <t xml:space="preserve">TPU moulded / 3D printed, 50 mm dia</t>
  </si>
  <si>
    <t xml:space="preserve">In-house 3D print</t>
  </si>
  <si>
    <t xml:space="preserve">—</t>
  </si>
  <si>
    <t xml:space="preserve">Protects the tube end and damps landing impulse.</t>
  </si>
  <si>
    <t xml:space="preserve">Rubber vibration mount</t>
  </si>
  <si>
    <t xml:space="preserve">Battery tray + strap</t>
  </si>
  <si>
    <t xml:space="preserve">CF tray, 2x hook-loop strap, foam pad</t>
  </si>
  <si>
    <t xml:space="preserve">In-house + hardware</t>
  </si>
  <si>
    <t xml:space="preserve">1 wk</t>
  </si>
  <si>
    <t xml:space="preserve">Retains a 1449 g pack under a 3 g landing load.</t>
  </si>
  <si>
    <t xml:space="preserve">Quick-release latch</t>
  </si>
  <si>
    <t xml:space="preserve">FC vibration mount</t>
  </si>
  <si>
    <t xml:space="preserve">Silicone damping-ball plate, 4 balls, 20-30 shore</t>
  </si>
  <si>
    <t xml:space="preserve">Holybro / generic</t>
  </si>
  <si>
    <t xml:space="preserve">IMU vibration is the top cause of EKF failure on student builds. Sizing §13 flags vibration fatigue as the real structural driver.</t>
  </si>
  <si>
    <t xml:space="preserve">Gel pad + 3M VHB</t>
  </si>
  <si>
    <t xml:space="preserve">Electronics canopy</t>
  </si>
  <si>
    <t xml:space="preserve">3D-printed PETG/ASA shell with vents, IP-splash rated</t>
  </si>
  <si>
    <t xml:space="preserve">Houses Jetson, mesh radio, PDB. Must accept the cooling blower duct (Sizing §14).</t>
  </si>
  <si>
    <t xml:space="preserve">CF shell, -60 g, +INR 4000</t>
  </si>
  <si>
    <t xml:space="preserve">Compute bay duct + blower</t>
  </si>
  <si>
    <t xml:space="preserve">5 V 40 mm blower + printed duct, active from power-on</t>
  </si>
  <si>
    <t xml:space="preserve">Generic / in-house</t>
  </si>
  <si>
    <t xml:space="preserve">Sizing §14: worst thermal case is the 5-min setup with props stopped, Jetson at 18 W, ambient 35 °C.</t>
  </si>
  <si>
    <t xml:space="preserve">Passive heatsink only — NOT recommended</t>
  </si>
  <si>
    <t xml:space="preserve">Fastener kit</t>
  </si>
  <si>
    <t xml:space="preserve">M3 socket cap A2 (6-30 mm), nyloc, washers, M3 heat inserts</t>
  </si>
  <si>
    <t xml:space="preserve">Local hardware</t>
  </si>
  <si>
    <t xml:space="preserve">Assume ~120 fasteners per aircraft. Budget threadlocker separately.</t>
  </si>
  <si>
    <t xml:space="preserve">Titanium; -35 g, 5x cost</t>
  </si>
  <si>
    <t xml:space="preserve">Standoffs / spacers</t>
  </si>
  <si>
    <t xml:space="preserve">M3 aluminium, 10-40 mm assorted</t>
  </si>
  <si>
    <t xml:space="preserve">Stack spacing for the avionics tray.</t>
  </si>
  <si>
    <t xml:space="preserve">Nylon; -25 g, less stiff</t>
  </si>
  <si>
    <t xml:space="preserve">Wiring channel / grommets</t>
  </si>
  <si>
    <t xml:space="preserve">Rubber grommets, spiral wrap, P-clips</t>
  </si>
  <si>
    <t xml:space="preserve">Chafe protection where the harness passes through CF — CF dust is conductive and abrasive.</t>
  </si>
  <si>
    <t xml:space="preserve">PROPULSION  — target 934 g</t>
  </si>
  <si>
    <t xml:space="preserve">Motor</t>
  </si>
  <si>
    <t xml:space="preserve">T-Motor Antigravity MN5008 KV170, 6-12S</t>
  </si>
  <si>
    <t xml:space="preserve">T-Motor / Indian distributor</t>
  </si>
  <si>
    <t xml:space="preserve">4-6 wk</t>
  </si>
  <si>
    <t xml:space="preserve">Sizing §6: need 2.53 kgf/motor at T/W=2. MN5008 gives 4.1 kgf on 18x6.1 → T/W_max 2.87, hover at 35% of max. Over-motored, but the 32% fleet mass margin makes that a good trade for wind and failure headroom.</t>
  </si>
  <si>
    <t xml:space="preserve">MN4014 KV330: -25 g each, hover ~50% of max, less headroom</t>
  </si>
  <si>
    <t xml:space="preserve">ESC</t>
  </si>
  <si>
    <t xml:space="preserve">60 A 6-12S BLHeli-32 / AM32, DShot600, telemetry out</t>
  </si>
  <si>
    <t xml:space="preserve">T-Motor / Hobbywing / Flycolor</t>
  </si>
  <si>
    <t xml:space="preserve">3-4 wk</t>
  </si>
  <si>
    <t xml:space="preserve">Sizing §6: 98 A pack peak = ~25 A per motor. A 60 A ESC is 2.4x margin, which is the right number for a heavy-lift build.</t>
  </si>
  <si>
    <t xml:space="preserve">4-in-1 ESC saves wiring but is a single point of failure</t>
  </si>
  <si>
    <t xml:space="preserve">Propeller pair</t>
  </si>
  <si>
    <t xml:space="preserve">18 x 6.1 in CF folding, CW+CCW, T-Motor P18x6.1 or MF1806</t>
  </si>
  <si>
    <t xml:space="preserve">T-Motor</t>
  </si>
  <si>
    <t xml:space="preserve">4 wk</t>
  </si>
  <si>
    <t xml:space="preserve">Sizing §3: prop diameter drives hover power as 1/D. 18 in is the largest the MN5008 is rated for. Folding for transport.</t>
  </si>
  <si>
    <t xml:space="preserve">Fixed 18x6.1: -15 g/pair, cheaper, bulkier to ship</t>
  </si>
  <si>
    <t xml:space="preserve">Prop adapter / hub</t>
  </si>
  <si>
    <t xml:space="preserve">M8 self-tightening or folding hub, matched to motor shaft</t>
  </si>
  <si>
    <t xml:space="preserve">Must match the MN5008 shaft. Confirm included in motor kit before ordering.</t>
  </si>
  <si>
    <t xml:space="preserve">Included with some motor SKUs</t>
  </si>
  <si>
    <t xml:space="preserve">POWER  — target 1449 g pack + 275 g distribution</t>
  </si>
  <si>
    <t xml:space="preserve">Li-ion cell</t>
  </si>
  <si>
    <t xml:space="preserve">Molicel INR21700-P45B, 4500 mAh, 45 A continuous</t>
  </si>
  <si>
    <t xml:space="preserve">Cell distributor (authentic only)</t>
  </si>
  <si>
    <t xml:space="preserve">Sizing §4: 6S3P = 292 Wh, 13.5 Ah, 135 A burst vs a 98 A peak demand (38% margin). Counterfeits are common — buy from an authorised source and capacity-test every cell.</t>
  </si>
  <si>
    <t xml:space="preserve">Samsung 50S: +5% energy, 25 A/cell, needs 6S4P</t>
  </si>
  <si>
    <t xml:space="preserve">Cell holder + nickel</t>
  </si>
  <si>
    <t xml:space="preserve">21700 holders, 0.15 x 8 mm pure nickel strip, fish paper</t>
  </si>
  <si>
    <t xml:space="preserve">Battery build supplier</t>
  </si>
  <si>
    <t xml:space="preserve">Spot-welded pack. Nickel cross-section sized for 135 A burst.</t>
  </si>
  <si>
    <t xml:space="preserve">Pre-built 6S3P pack from a vendor</t>
  </si>
  <si>
    <t xml:space="preserve">BMS / balance board</t>
  </si>
  <si>
    <t xml:space="preserve">6S balance lead board with per-cell taps, 100 A discharge path</t>
  </si>
  <si>
    <t xml:space="preserve">Generic</t>
  </si>
  <si>
    <t xml:space="preserve">Balance charging and per-cell monitoring. Discharge path may bypass the BMS if it cannot take 135 A.</t>
  </si>
  <si>
    <t xml:space="preserve">Balance leads only, no BMS</t>
  </si>
  <si>
    <t xml:space="preserve">Pack wrap + case</t>
  </si>
  <si>
    <t xml:space="preserve">Heat shrink, foam, hard-shell frame</t>
  </si>
  <si>
    <t xml:space="preserve">Local</t>
  </si>
  <si>
    <t xml:space="preserve">Protects cells from vibration and crash puncture.</t>
  </si>
  <si>
    <t xml:space="preserve">Main connector</t>
  </si>
  <si>
    <t xml:space="preserve">XT90-S anti-spark, male + female with pigtails</t>
  </si>
  <si>
    <t xml:space="preserve">Amass / generic</t>
  </si>
  <si>
    <t xml:space="preserve">Anti-spark is mandatory at 292 Wh — a plain XT90 will arc and pit.</t>
  </si>
  <si>
    <t xml:space="preserve">AS150 + XT150 for &gt;120 A</t>
  </si>
  <si>
    <t xml:space="preserve">Power distribution board</t>
  </si>
  <si>
    <t xml:space="preserve">PDB rated 200 A continuous, 10 AWG pads</t>
  </si>
  <si>
    <t xml:space="preserve">Mauch / Holybro / generic</t>
  </si>
  <si>
    <t xml:space="preserve">Sizing §6: 98 A peak. 200 A rating gives thermal margin at 45 °C ambient.</t>
  </si>
  <si>
    <t xml:space="preserve">Solder direct to a copper bus bar</t>
  </si>
  <si>
    <t xml:space="preserve">Power module / current sensor</t>
  </si>
  <si>
    <t xml:space="preserve">Hall-effect 100-200 A, 6-14S, with 5 V FC supply</t>
  </si>
  <si>
    <t xml:space="preserve">Mauch HS-200 / Holybro PM07</t>
  </si>
  <si>
    <t xml:space="preserve">2-3 wk</t>
  </si>
  <si>
    <t xml:space="preserve">Battery telemetry drives the low-battery failsafe (rule C16) and the SoC display on the GCS (rule C11).</t>
  </si>
  <si>
    <t xml:space="preserve">Shunt-based; cheaper, less accurate at low current</t>
  </si>
  <si>
    <t xml:space="preserve">BEC 5 V</t>
  </si>
  <si>
    <t xml:space="preserve">5 V 5 A switching, low-noise, for FC + peripherals</t>
  </si>
  <si>
    <t xml:space="preserve">Mateksys / generic</t>
  </si>
  <si>
    <t xml:space="preserve">Separate rail from the compute BEC so a Jetson brownout cannot take the FC down.</t>
  </si>
  <si>
    <t xml:space="preserve">Use FC internal BEC — not recommended at this power</t>
  </si>
  <si>
    <t xml:space="preserve">BEC 12 V</t>
  </si>
  <si>
    <t xml:space="preserve">12 V 5 A switching, for Jetson + mesh radio</t>
  </si>
  <si>
    <t xml:space="preserve">Jetson Orin Nano needs a clean 12 V at ~4 A peak. Sizing §14: 42 W total avionics.</t>
  </si>
  <si>
    <t xml:space="preserve">19 V module for a barrel-jack carrier</t>
  </si>
  <si>
    <t xml:space="preserve">Silicone wire 10 AWG</t>
  </si>
  <si>
    <t xml:space="preserve">Red + black, 2 m total</t>
  </si>
  <si>
    <t xml:space="preserve">Sizing §6: 98 A peak → 10 AWG mains.</t>
  </si>
  <si>
    <t xml:space="preserve">8 AWG if runs exceed 300 mm</t>
  </si>
  <si>
    <t xml:space="preserve">Silicone wire 14 AWG</t>
  </si>
  <si>
    <t xml:space="preserve">Motor phase leads, 6 m</t>
  </si>
  <si>
    <t xml:space="preserve">25 A per motor peak → 14 AWG is comfortable.</t>
  </si>
  <si>
    <t xml:space="preserve">12 AWG</t>
  </si>
  <si>
    <t xml:space="preserve">Signal wire + connectors</t>
  </si>
  <si>
    <t xml:space="preserve">22-26 AWG, JST-GH 4/6 pin sets, DuPont, heat shrink</t>
  </si>
  <si>
    <t xml:space="preserve">Local / Holybro</t>
  </si>
  <si>
    <t xml:space="preserve">JST-GH is the Pixhawk standard; do not improvise connectors on a flight article.</t>
  </si>
  <si>
    <t xml:space="preserve">Low-voltage buzzer</t>
  </si>
  <si>
    <t xml:space="preserve">Piezo with FC drive</t>
  </si>
  <si>
    <t xml:space="preserve">Audible pre-arm and low-battery warning; also a lost-model locator.</t>
  </si>
  <si>
    <t xml:space="preserve">AVIONICS  — target 175 g</t>
  </si>
  <si>
    <t xml:space="preserve">Flight controller</t>
  </si>
  <si>
    <t xml:space="preserve">Pixhawk 6C / Holybro Pix32 v6, H7, triple IMU, ArduPilot or PX4</t>
  </si>
  <si>
    <t xml:space="preserve">Holybro / CUAV</t>
  </si>
  <si>
    <t xml:space="preserve">Sizing §1: proven autopilot handles stabilisation and failsafes; the companion handles autonomy. Triple IMU matters for the vibration environment.</t>
  </si>
  <si>
    <t xml:space="preserve">CubeOrange+ (+30 g, +INR 25k, better isolation) · VEGA-based FC as a NIDAR indigenisation stretch goal</t>
  </si>
  <si>
    <t xml:space="preserve">GNSS rover (RTK)</t>
  </si>
  <si>
    <t xml:space="preserve">u-blox ZED-F9P module, multi-band, with helical antenna</t>
  </si>
  <si>
    <t xml:space="preserve">Holybro H-RTK F9P / ArduSimple</t>
  </si>
  <si>
    <t xml:space="preserve">Sizing §11: RTK takes geotag CEP50 from 2.54 m to 1.08 m by removing the dominant GNSS term. THIS IS THE SINGLE HIGHEST-LEVERAGE AVIONICS PURCHASE.</t>
  </si>
  <si>
    <t xml:space="preserve">M9N (non-RTK): CEP ~2.5 m, saves INR 27k</t>
  </si>
  <si>
    <t xml:space="preserve">GNSS secondary (heading)</t>
  </si>
  <si>
    <t xml:space="preserve">Second ZED-F9P for moving-baseline yaw</t>
  </si>
  <si>
    <t xml:space="preserve">Holybro / ArduSimple</t>
  </si>
  <si>
    <t xml:space="preserve">Sizing §11 case C: with RTK, attitude becomes a leading error term. Dual-antenna heading removes magnetometer error, which is severe near a 100 A power bus.</t>
  </si>
  <si>
    <t xml:space="preserve">Single GNSS + compass; accept ~1° yaw error</t>
  </si>
  <si>
    <t xml:space="preserve">GNSS antenna</t>
  </si>
  <si>
    <t xml:space="preserve">Multi-band helical/patch L1/L2, with ground plane</t>
  </si>
  <si>
    <t xml:space="preserve">Included with most F9P kits</t>
  </si>
  <si>
    <t xml:space="preserve">Mount ≥150 mm above the power bus and away from the Jetson (Sizing: EMI control is a P3 exit gate).</t>
  </si>
  <si>
    <t xml:space="preserve">RC receiver</t>
  </si>
  <si>
    <t xml:space="preserve">ExpressLRS 2.4 GHz or FrSky, for the safety pilot link</t>
  </si>
  <si>
    <t xml:space="preserve">Not used in the scored mission. Present so a human can take manual control in an emergency — a range-safety requirement, not a rules requirement.</t>
  </si>
  <si>
    <t xml:space="preserve">Crossfire 868 MHz</t>
  </si>
  <si>
    <t xml:space="preserve">Safety switch + LED</t>
  </si>
  <si>
    <t xml:space="preserve">Pixhawk safety switch, RGB status LED (external)</t>
  </si>
  <si>
    <t xml:space="preserve">Holybro</t>
  </si>
  <si>
    <t xml:space="preserve">Physical arming interlock; the LED is how the ground crew reads state from 10 m away.</t>
  </si>
  <si>
    <t xml:space="preserve">microSD card</t>
  </si>
  <si>
    <t xml:space="preserve">32 GB, industrial/high-endurance, for FC dataflash logs</t>
  </si>
  <si>
    <t xml:space="preserve">SanDisk / Samsung</t>
  </si>
  <si>
    <t xml:space="preserve">Every flight must be logged (Development Plan §1.5). Two so one is always in the aircraft.</t>
  </si>
  <si>
    <t xml:space="preserve">COMPUTE &amp; PERCEPTION  — target 350 g</t>
  </si>
  <si>
    <t xml:space="preserve">Companion computer</t>
  </si>
  <si>
    <t xml:space="preserve">NVIDIA Jetson Orin Nano 8 GB Super Dev Kit (module + carrier)</t>
  </si>
  <si>
    <t xml:space="preserve">NVIDIA / Indian distributor</t>
  </si>
  <si>
    <t xml:space="preserve">4-8 wk</t>
  </si>
  <si>
    <t xml:space="preserve">Sizing §8.2: tiled inference at 2 Hz needs ~24 inferences/s at 640x640; Orin Nano delivers 24-40 FPS with TensorRT FP16. Long lead time — order at the Phase 1 gate.</t>
  </si>
  <si>
    <t xml:space="preserve">Orin NX 16GB (+INR 45k, 3x throughput) · Raspberry Pi 5 + Hailo-8L (lighter, cheaper, weaker toolchain)</t>
  </si>
  <si>
    <t xml:space="preserve">NVMe SSD</t>
  </si>
  <si>
    <t xml:space="preserve">256 GB M.2 2280 NVMe</t>
  </si>
  <si>
    <t xml:space="preserve">Boot device plus onboard recording of raw imagery for post-flight dataset growth (Development Plan P7).</t>
  </si>
  <si>
    <t xml:space="preserve">128 GB</t>
  </si>
  <si>
    <t xml:space="preserve">Camera module</t>
  </si>
  <si>
    <t xml:space="preserve">Arducam IMX477 12.3 MP, 1/2.3 in, CSI-2, with 6 mm CS lens</t>
  </si>
  <si>
    <t xml:space="preserve">Arducam</t>
  </si>
  <si>
    <t xml:space="preserve">Sizing §8: at 60 m AGL this gives 1.82 cm/px GSD and a 93 px person, with 74 m swath. ROLLING SHUTTER — mitigated by the ≤1/1000 s shutter and the 15°/s body-rate gate in Sizing §8.1.</t>
  </si>
  <si>
    <t xml:space="preserve">Global-shutter alternatives are far lower resolution; a rolling shutter with the rate gate is the right compromise here</t>
  </si>
  <si>
    <t xml:space="preserve">Lens</t>
  </si>
  <si>
    <t xml:space="preserve">6 mm CS-mount, low distortion, IR-cut</t>
  </si>
  <si>
    <t xml:space="preserve">Arducam / Computar</t>
  </si>
  <si>
    <t xml:space="preserve">f = 6 mm sets HFOV 63.3°. Verify actual FOV by calibration — datasheet FOV figures are routinely optimistic.</t>
  </si>
  <si>
    <t xml:space="preserve">8 mm for higher GSD at the cost of swath</t>
  </si>
  <si>
    <t xml:space="preserve">Camera mount</t>
  </si>
  <si>
    <t xml:space="preserve">Rigid nadir mount with silicone isolation, boresight-adjustable</t>
  </si>
  <si>
    <t xml:space="preserve">In-house</t>
  </si>
  <si>
    <t xml:space="preserve">Sizing §11: boresight residual is a SYSTEMATIC error that no amount of frame averaging removes. The mount must be adjustable and then LOCKED and re-calibrated.</t>
  </si>
  <si>
    <t xml:space="preserve">1-axis pitch gimbal: +120 g, +INR 15k, better oblique looks</t>
  </si>
  <si>
    <t xml:space="preserve">CSI ribbon cable</t>
  </si>
  <si>
    <t xml:space="preserve">22-pin to 15-pin, 300 mm, shielded</t>
  </si>
  <si>
    <t xml:space="preserve">Long CSI runs are noise-prone; use shielded and keep away from ESC leads.</t>
  </si>
  <si>
    <t xml:space="preserve">Heatsink + fan</t>
  </si>
  <si>
    <t xml:space="preserve">Active cooler for the Orin Nano module</t>
  </si>
  <si>
    <t xml:space="preserve">NVIDIA / Waveshare</t>
  </si>
  <si>
    <t xml:space="preserve">Sizing §14: 18 W sustained. Included with the dev kit but verify.</t>
  </si>
  <si>
    <t xml:space="preserve">Included with dev kit</t>
  </si>
  <si>
    <t xml:space="preserve">FC-to-companion cable</t>
  </si>
  <si>
    <t xml:space="preserve">JST-GH 6-pin to USB-TTL / UART, 250 mm</t>
  </si>
  <si>
    <t xml:space="preserve">MAVLink 2 or uXRCE-DDS link. Use UART, not USB, for flight-critical traffic.</t>
  </si>
  <si>
    <t xml:space="preserve">Ethernet if the FC supports it</t>
  </si>
  <si>
    <t xml:space="preserve">COMMUNICATIONS  — target 140 g</t>
  </si>
  <si>
    <t xml:space="preserve">Mesh radio — TIER A</t>
  </si>
  <si>
    <t xml:space="preserve">802.11ac M.2/mini-PCIe card (Intel AX210 or QCA9880) in the Jetson, batman-adv on OpenWrt/Linux</t>
  </si>
  <si>
    <t xml:space="preserve">1-2 wk</t>
  </si>
  <si>
    <t xml:space="preserve">Sizing §12: offered load is 2.5 Mbps against ≥26 Mbps at MCS3 with 13.7 dB margin at 600 m. Commodity 802.11 + batman-adv meets this and is the standard student solution.</t>
  </si>
  <si>
    <t xml:space="preserve">Tier B: Microhard pMDDL2450 (~INR 55k, true MANET). Tier C: Doodle Labs Mesh Rider (~INR 160k+).</t>
  </si>
  <si>
    <t xml:space="preserve">5.8 GHz antenna</t>
  </si>
  <si>
    <t xml:space="preserve">3 dBi RP-SMA dipole, 5.15-5.9 GHz</t>
  </si>
  <si>
    <t xml:space="preserve">Sizing §12: air node 24 dBm + 3 dBi = 27 dBm EIRP, legal under India 5.825-5.875 GHz drone allocation (1 W Tx / 4 W EIRP).</t>
  </si>
  <si>
    <t xml:space="preserve">Circular polarised: better multipath, +12 g</t>
  </si>
  <si>
    <t xml:space="preserve">U.FL to RP-SMA pigtail</t>
  </si>
  <si>
    <t xml:space="preserve">150 mm, low loss</t>
  </si>
  <si>
    <t xml:space="preserve">Keep short — every 100 mm of thin coax at 5.8 GHz costs ~0.5 dB.</t>
  </si>
  <si>
    <t xml:space="preserve">Sub-GHz safety radio</t>
  </si>
  <si>
    <t xml:space="preserve">RFD868x-EU or Ebyte E22-900 (865-867 MHz India delicensed band)</t>
  </si>
  <si>
    <t xml:space="preserve">RFDesign / Ebyte</t>
  </si>
  <si>
    <t xml:space="preserve">Sizing §12: 53 dB margin at 600 m. Abort and recall (rule C16) live on this link because it is the one that does not fail.</t>
  </si>
  <si>
    <t xml:space="preserve">433 MHz — check WPC delicensing before use</t>
  </si>
  <si>
    <t xml:space="preserve">868 MHz antenna</t>
  </si>
  <si>
    <t xml:space="preserve">2 dBi dipole, RP-SMA, with pigtail</t>
  </si>
  <si>
    <t xml:space="preserve">RFDesign</t>
  </si>
  <si>
    <t xml:space="preserve">Mount orthogonally to the 5.8 GHz antennas to reduce coupling.</t>
  </si>
  <si>
    <t xml:space="preserve">PAYLOAD SYSTEM  — target 240 g mechanism</t>
  </si>
  <si>
    <t xml:space="preserve">Release servo</t>
  </si>
  <si>
    <t xml:space="preserve">Metal-gear digital micro servo, 2.5 kg·cm, 9 g class</t>
  </si>
  <si>
    <t xml:space="preserve">One per magazine station. Sizing §10: release must be gated on AGL 6 m and groundspeed &lt;0.3 m/s.</t>
  </si>
  <si>
    <t xml:space="preserve">Single servo + carousel: -40 g, one failure loses all kits</t>
  </si>
  <si>
    <t xml:space="preserve">Magazine housing</t>
  </si>
  <si>
    <t xml:space="preserve">3D-printed PETG rails, 4 stations, 200x100x50 mm each</t>
  </si>
  <si>
    <t xml:space="preserve">Sizing §13: mount on the CG axis. Releasing 200 g at 50 mm offset shifts CG 2 mm — small, but it is a STEP input to the attitude loop.</t>
  </si>
  <si>
    <t xml:space="preserve">CF plate + printed rails, -30 g</t>
  </si>
  <si>
    <t xml:space="preserve">Positive-lock detent</t>
  </si>
  <si>
    <t xml:space="preserve">Spring detent + mechanical catch, independent of servo power</t>
  </si>
  <si>
    <t xml:space="preserve">CRITICAL SAFETY ITEM. A brownout or servo failure must not release a kit. Independent mechanical retention is a requirement, not an option.</t>
  </si>
  <si>
    <t xml:space="preserve">None — unacceptable</t>
  </si>
  <si>
    <t xml:space="preserve">Release confirmation switch</t>
  </si>
  <si>
    <t xml:space="preserve">Micro lever switch, per station</t>
  </si>
  <si>
    <t xml:space="preserve">Feeds per-drone delivery status to the GCS, which rule C11 requires displayed.</t>
  </si>
  <si>
    <t xml:space="preserve">Servo current sensing</t>
  </si>
  <si>
    <t xml:space="preserve">Servo signal harness</t>
  </si>
  <si>
    <t xml:space="preserve">PWM from FC AUX outputs, 4 channels</t>
  </si>
  <si>
    <t xml:space="preserve">Route through the FC so the arming state gates the release.</t>
  </si>
  <si>
    <t xml:space="preserve">Direct from companion GPIO — loses the arming interlock</t>
  </si>
  <si>
    <t xml:space="preserve">TOTAL</t>
  </si>
  <si>
    <t xml:space="preserve">02 — PAYLOAD, KITS AND GROUND-TRUTH TARGETS (fleet quantities)</t>
  </si>
  <si>
    <t xml:space="preserve">Fleet-level quantities, not per aircraft. Kit mass and dimensions are fixed by rule C6.</t>
  </si>
  <si>
    <t xml:space="preserve">SURVIVOR KITS — rule C6: exactly 200 g, 200 x 100 x 50 mm rigid rectangular box</t>
  </si>
  <si>
    <t xml:space="preserve">Kit outer box</t>
  </si>
  <si>
    <t xml:space="preserve">Rigid ABS/corrugated PP, 200x100x50 mm, sealed, high-visibility orange</t>
  </si>
  <si>
    <t xml:space="preserve">Local fabricator</t>
  </si>
  <si>
    <t xml:space="preserve">Rule C6 fixes the dimensions. 14 built for 12 flown (3 aircraft x 4) plus 2 spares. Sizing §10: must survive a 9.7 m/s impact.</t>
  </si>
  <si>
    <t xml:space="preserve">3D-printed shell; heavier, slower to produce</t>
  </si>
  <si>
    <t xml:space="preserve">Impact padding</t>
  </si>
  <si>
    <t xml:space="preserve">Closed-cell EVA foam liner, 8 mm</t>
  </si>
  <si>
    <t xml:space="preserve">Sizing §10: impact speed 9.7 m/s from a 6 m release. Foam protects contents and reduces bounce.</t>
  </si>
  <si>
    <t xml:space="preserve">Bubble wrap — poor repeatability</t>
  </si>
  <si>
    <t xml:space="preserve">Kit contents</t>
  </si>
  <si>
    <t xml:space="preserve">Bandage roll, ORS sachets, whistle, glow stick, emergency blanket, water pouch</t>
  </si>
  <si>
    <t xml:space="preserve">Pharmacy / local</t>
  </si>
  <si>
    <t xml:space="preserve">Contents must total exactly 200 g with the box and padding. Ballast to trim to spec, then weigh each kit individually.</t>
  </si>
  <si>
    <t xml:space="preserve">Ballast-only dummy kits for test flying — build 20 of these</t>
  </si>
  <si>
    <t xml:space="preserve">Trim ballast</t>
  </si>
  <si>
    <t xml:space="preserve">Lead/steel shot in a sealed sachet, to bring each kit to 200.0 g</t>
  </si>
  <si>
    <t xml:space="preserve">Rule C6 is exact. Weigh on a 0.1 g scale and record per kit.</t>
  </si>
  <si>
    <t xml:space="preserve">Test dummy kits</t>
  </si>
  <si>
    <t xml:space="preserve">Ballast-only boxes to the same mass and dimensions, for drop testing</t>
  </si>
  <si>
    <t xml:space="preserve">Development Plan P8 requires ≥30 instrumented drops. Do not consume real kits in testing.</t>
  </si>
  <si>
    <t xml:space="preserve">Reuse real kits — risks contamination and wear</t>
  </si>
  <si>
    <t xml:space="preserve">GROUND-TRUTH TARGETS (for the P7 detection and P8 delivery campaigns)</t>
  </si>
  <si>
    <t xml:space="preserve">Survivor mannequin</t>
  </si>
  <si>
    <t xml:space="preserve">Human-size dummy, articulable to supine/prone/seated, weather-tolerant</t>
  </si>
  <si>
    <t xml:space="preserve">Development Plan P7: HERIDAL/SARD targets are ~0.1% of frame area in atypical postures. You must train and test against the same.</t>
  </si>
  <si>
    <t xml:space="preserve">Volunteers only — cannot be left in the field between passes</t>
  </si>
  <si>
    <t xml:space="preserve">Target clothing set</t>
  </si>
  <si>
    <t xml:space="preserve">Varied colour/contrast sets, incl. low-contrast earth tones</t>
  </si>
  <si>
    <t xml:space="preserve">Prevents the model from learning "bright clothing" as the detection cue.</t>
  </si>
  <si>
    <t xml:space="preserve">Drop-zone target mat</t>
  </si>
  <si>
    <t xml:space="preserve">5 m marked concentric-ring mat with a surveyed centre</t>
  </si>
  <si>
    <t xml:space="preserve">Measures delivery CEP directly (Sizing §10 target: ≤3 m CEP).</t>
  </si>
  <si>
    <t xml:space="preserve">Chalk circles — not reusable in wind</t>
  </si>
  <si>
    <t xml:space="preserve">Surveyed ground markers</t>
  </si>
  <si>
    <t xml:space="preserve">High-contrast 600 mm checkerboard/AprilTag panels, positions surveyed with RTK</t>
  </si>
  <si>
    <t xml:space="preserve">In-house + RTK survey</t>
  </si>
  <si>
    <t xml:space="preserve">Sizing §11: boresight and lever-arm calibration is SYSTEMATIC error correction — it does not average out. These markers are how you do it.</t>
  </si>
  <si>
    <t xml:space="preserve">None — then you cannot claim any geotag accuracy</t>
  </si>
  <si>
    <t xml:space="preserve">03 — GROUND SEGMENT AND FIELD INFRASTRUCTURE</t>
  </si>
  <si>
    <t xml:space="preserve">One set for the whole programme. Rule C10 allows exactly one Ground Control Station.</t>
  </si>
  <si>
    <t xml:space="preserve">GROUND CONTROL STATION</t>
  </si>
  <si>
    <t xml:space="preserve">GCS laptop</t>
  </si>
  <si>
    <t xml:space="preserve">16 GB RAM, discrete GPU, 1 TB SSD, sunlight-readable or shaded</t>
  </si>
  <si>
    <t xml:space="preserve">Any</t>
  </si>
  <si>
    <t xml:space="preserve">Runs the custom GCS, MAVLink router, mesh node and video decode. Rule C10 permits exactly ONE GCS.</t>
  </si>
  <si>
    <t xml:space="preserve">Ruggedised tablet — smaller screen hurts the C11 display requirement</t>
  </si>
  <si>
    <t xml:space="preserve">Backup laptop</t>
  </si>
  <si>
    <t xml:space="preserve">Cloned image of the GCS, ready to swap</t>
  </si>
  <si>
    <t xml:space="preserve">A GCS failure ends the mission. Clone it and keep it powered in the field box.</t>
  </si>
  <si>
    <t xml:space="preserve">None — unacceptable risk</t>
  </si>
  <si>
    <t xml:space="preserve">Sun shade / hood</t>
  </si>
  <si>
    <t xml:space="preserve">Laptop hood for outdoor daylight (rule C15)</t>
  </si>
  <si>
    <t xml:space="preserve">You cannot read a laptop screen in Indian midday sun. Judges will be watching this screen.</t>
  </si>
  <si>
    <t xml:space="preserve">Canopy tent shade</t>
  </si>
  <si>
    <t xml:space="preserve">External monitor</t>
  </si>
  <si>
    <t xml:space="preserve">15 in portable, for the judge/observer view</t>
  </si>
  <si>
    <t xml:space="preserve">Lets evaluators see the mission without crowding the operator.</t>
  </si>
  <si>
    <t xml:space="preserve">Screen-share to a tablet</t>
  </si>
  <si>
    <t xml:space="preserve">MESH GROUND NODE</t>
  </si>
  <si>
    <t xml:space="preserve">Ground mesh node</t>
  </si>
  <si>
    <t xml:space="preserve">Same radio as the air nodes, in a weatherproof enclosure</t>
  </si>
  <si>
    <t xml:space="preserve">Sizing §12: 24 dBm Tx.</t>
  </si>
  <si>
    <t xml:space="preserve">Tier B/C to match the airborne tier</t>
  </si>
  <si>
    <t xml:space="preserve">Sector antenna</t>
  </si>
  <si>
    <t xml:space="preserve">9 dBi, 5.15-5.9 GHz, 90-120° sector, RP-SMA</t>
  </si>
  <si>
    <t xml:space="preserve">Sizing §12: 9 dBi at the GCS gives 33 dBm EIRP (legal) and 13.7 dB margin at 600 m. Two for spatial diversity.</t>
  </si>
  <si>
    <t xml:space="preserve">Omni 5 dBi: -4 dB margin</t>
  </si>
  <si>
    <t xml:space="preserve">Antenna mast</t>
  </si>
  <si>
    <t xml:space="preserve">2 m telescopic mast with tripod and guys</t>
  </si>
  <si>
    <t xml:space="preserve">Sizing §12: elevating the ground antenna is the cheapest link-margin improvement available. Ground-level antennas lose 6-10 dB to clutter.</t>
  </si>
  <si>
    <t xml:space="preserve">Tripod only, 1.2 m</t>
  </si>
  <si>
    <t xml:space="preserve">Low-loss coax</t>
  </si>
  <si>
    <t xml:space="preserve">LMR-240 or better, 3 m, RP-SMA</t>
  </si>
  <si>
    <t xml:space="preserve">At 5.8 GHz, cheap coax costs 1 dB/m. Keep runs short.</t>
  </si>
  <si>
    <t xml:space="preserve">Mount the radio at the antenna instead</t>
  </si>
  <si>
    <t xml:space="preserve">RTK BASE STATION  — DECISION PENDING organiser confirmation (Dev Plan clarification Q1)</t>
  </si>
  <si>
    <t xml:space="preserve">RTK base receiver</t>
  </si>
  <si>
    <t xml:space="preserve">u-blox ZED-F9P base kit with survey-grade antenna</t>
  </si>
  <si>
    <t xml:space="preserve">ArduSimple / Emlid</t>
  </si>
  <si>
    <t xml:space="preserve">Sizing §11: takes geotag CEP50 from 2.54 m to 1.08 m. Corrections travel on the team local link, NOT the internet — but confirm permissibility in writing before relying on it.</t>
  </si>
  <si>
    <t xml:space="preserve">Emlid Reach RS3 (integrated, tripod-ready, ~INR 2.5 L)</t>
  </si>
  <si>
    <t xml:space="preserve">Survey tripod + tribrach</t>
  </si>
  <si>
    <t xml:space="preserve">Fixed-height survey tripod</t>
  </si>
  <si>
    <t xml:space="preserve">Survey supplier</t>
  </si>
  <si>
    <t xml:space="preserve">Base position must be stable and repeatable across the test campaign.</t>
  </si>
  <si>
    <t xml:space="preserve">Camera tripod — insufficient rigidity</t>
  </si>
  <si>
    <t xml:space="preserve">Base radio link</t>
  </si>
  <si>
    <t xml:space="preserve">868 MHz RTCM link, base to rovers</t>
  </si>
  <si>
    <t xml:space="preserve">Broadcasts corrections to all three aircraft on a team-owned local link.</t>
  </si>
  <si>
    <t xml:space="preserve">Rebroadcast RTCM over the 5.8 GHz mesh</t>
  </si>
  <si>
    <t xml:space="preserve">FIELD POWER &amp; INFRASTRUCTURE</t>
  </si>
  <si>
    <t xml:space="preserve">Portable power station</t>
  </si>
  <si>
    <t xml:space="preserve">1500-2000 Wh LiFePO4 with AC output</t>
  </si>
  <si>
    <t xml:space="preserve">Charging 3 x 292 Wh packs between sorties plus GCS and instruments. A test day is 6-10 sorties.</t>
  </si>
  <si>
    <t xml:space="preserve">Inverter generator (noisy, fuel, but cheaper)</t>
  </si>
  <si>
    <t xml:space="preserve">Solar panel</t>
  </si>
  <si>
    <t xml:space="preserve">200 W folding, for multi-day field campaigns</t>
  </si>
  <si>
    <t xml:space="preserve">Optional. Useful for remote test sites during the P7 data campaign.</t>
  </si>
  <si>
    <t xml:space="preserve">None</t>
  </si>
  <si>
    <t xml:space="preserve">Field table + canopy</t>
  </si>
  <si>
    <t xml:space="preserve">Folding table, 3x3 m canopy, weights</t>
  </si>
  <si>
    <t xml:space="preserve">Shade for the GCS and a stable surface. Also the judge-facing impression.</t>
  </si>
  <si>
    <t xml:space="preserve">Landing pad</t>
  </si>
  <si>
    <t xml:space="preserve">3.66 x 3.66 m (12 ft) marked pad, pegged, with sequenced position markers</t>
  </si>
  <si>
    <t xml:space="preserve">In-house / generic</t>
  </si>
  <si>
    <t xml:space="preserve">Rule C14 fixes this size. Practise every launch and recovery on an exactly-sized pad from day one.</t>
  </si>
  <si>
    <t xml:space="preserve">Chalk marking — blows away, not repeatable</t>
  </si>
  <si>
    <t xml:space="preserve">Windsock + anemometer</t>
  </si>
  <si>
    <t xml:space="preserve">Handheld anemometer with logging + 600 mm windsock</t>
  </si>
  <si>
    <t xml:space="preserve">Sizing §9.2: wind policy is constant GROUNDSPEED. You need to know the wind to verify the policy and to log conditions per sortie.</t>
  </si>
  <si>
    <t xml:space="preserve">Phone weather app — insufficient</t>
  </si>
  <si>
    <t xml:space="preserve">Equipment cases</t>
  </si>
  <si>
    <t xml:space="preserve">Wheeled hard cases with custom foam, 3 aircraft + 1 ground kit</t>
  </si>
  <si>
    <t xml:space="preserve">Pelican-type</t>
  </si>
  <si>
    <t xml:space="preserve">Sizing §15: the 5-minute setup starts with getting aircraft out of cases. Foam layout is part of the setup choreography.</t>
  </si>
  <si>
    <t xml:space="preserve">Soft cases — slower and less protective</t>
  </si>
  <si>
    <t xml:space="preserve">SAFETY &amp; COMPLIANCE</t>
  </si>
  <si>
    <t xml:space="preserve">LiPo/Li-ion safe bags</t>
  </si>
  <si>
    <t xml:space="preserve">Large fire-resistant charging/storage bags</t>
  </si>
  <si>
    <t xml:space="preserve">Non-negotiable with 292 Wh packs in a student lab.</t>
  </si>
  <si>
    <t xml:space="preserve">Fire extinguisher</t>
  </si>
  <si>
    <t xml:space="preserve">Class D / lithium-rated, plus a bucket of dry sand</t>
  </si>
  <si>
    <t xml:space="preserve">Standard water/CO2 will not stop a lithium fire.</t>
  </si>
  <si>
    <t xml:space="preserve">First aid kit</t>
  </si>
  <si>
    <t xml:space="preserve">Trauma-capable, including laceration dressings</t>
  </si>
  <si>
    <t xml:space="preserve">20 in carbon props at 3000 RPM cause serious injuries. Have this before the first spin-up.</t>
  </si>
  <si>
    <t xml:space="preserve">High-visibility vests + eye protection</t>
  </si>
  <si>
    <t xml:space="preserve">For the 2 setup crew and safety officer</t>
  </si>
  <si>
    <t xml:space="preserve">Range discipline. Also signals professionalism to evaluators.</t>
  </si>
  <si>
    <t xml:space="preserve">Safety pilot transmitter</t>
  </si>
  <si>
    <t xml:space="preserve">ExpressLRS/FrSky TX matched to the aircraft receivers</t>
  </si>
  <si>
    <t xml:space="preserve">Manual override capability during testing. Not used in the scored run.</t>
  </si>
  <si>
    <t xml:space="preserve">Barrier tape / cones</t>
  </si>
  <si>
    <t xml:space="preserve">100 m tape, 8 cones, for range perimeter</t>
  </si>
  <si>
    <t xml:space="preserve">Defines the flight area at test sites and keeps spectators out of the descent cone.</t>
  </si>
  <si>
    <t xml:space="preserve">04 — TEST, LAB AND CALIBRATION EQUIPMENT</t>
  </si>
  <si>
    <t xml:space="preserve">Capital equipment for the programme. Several items directly retire assumptions listed in Sizing §16.</t>
  </si>
  <si>
    <t xml:space="preserve">PROPULSION AND POWER CHARACTERISATION  — closes assumptions A1, A2, A4, A5 in Sizing §16</t>
  </si>
  <si>
    <t xml:space="preserve">Thrust stand</t>
  </si>
  <si>
    <t xml:space="preserve">RCbenchmark Series 1585 or equivalent, to 5 kgf, with torque and RPM</t>
  </si>
  <si>
    <t xml:space="preserve">RCbenchmark / Tyto</t>
  </si>
  <si>
    <t xml:space="preserve">Sizing §16 A1: figure of merit is assumed 0.60 and is the single largest uncertainty in the power model (±0.1 → ∓17% hover power). This instrument replaces the assumption with data.</t>
  </si>
  <si>
    <t xml:space="preserve">Load cell + Arduino DIY rig: ~INR 15k, much lower fidelity</t>
  </si>
  <si>
    <t xml:space="preserve">Power analyser</t>
  </si>
  <si>
    <t xml:space="preserve">130 A inline watt meter with logging</t>
  </si>
  <si>
    <t xml:space="preserve">Turnigy / Mauch</t>
  </si>
  <si>
    <t xml:space="preserve">Measures real hover current against the 36 A predicted (Sizing §6).</t>
  </si>
  <si>
    <t xml:space="preserve">FC current telemetry — less accurate</t>
  </si>
  <si>
    <t xml:space="preserve">Battery charger</t>
  </si>
  <si>
    <t xml:space="preserve">iCharger X8 or Junsi, 8S, 1000 W, with parallel board</t>
  </si>
  <si>
    <t xml:space="preserve">Junsi / iCharger</t>
  </si>
  <si>
    <t xml:space="preserve">292 Wh pack at 1C needs ~300 W. Two chargers to keep a test day moving.</t>
  </si>
  <si>
    <t xml:space="preserve">Cheaper 200 W charger doubles turnaround</t>
  </si>
  <si>
    <t xml:space="preserve">Charger PSU</t>
  </si>
  <si>
    <t xml:space="preserve">24 V 40 A server PSU or bench supply</t>
  </si>
  <si>
    <t xml:space="preserve">Feeds the chargers at full rated power.</t>
  </si>
  <si>
    <t xml:space="preserve">Cell tester</t>
  </si>
  <si>
    <t xml:space="preserve">21700 capacity/IR tester, 8-bay</t>
  </si>
  <si>
    <t xml:space="preserve">Every cell must be capacity- and IR-matched before pack assembly. Counterfeit 21700s are widespread; this is how you catch them.</t>
  </si>
  <si>
    <t xml:space="preserve">Trust the vendor — do not</t>
  </si>
  <si>
    <t xml:space="preserve">Spot welder</t>
  </si>
  <si>
    <t xml:space="preserve">Battery spot welder, 21700-capable, with nickel strip electrodes</t>
  </si>
  <si>
    <t xml:space="preserve">Soldering directly to cells damages them. Spot welding is the correct method.</t>
  </si>
  <si>
    <t xml:space="preserve">Buy pre-built packs; less control over quality</t>
  </si>
  <si>
    <t xml:space="preserve">MEASUREMENT AND CALIBRATION</t>
  </si>
  <si>
    <t xml:space="preserve">Precision scale</t>
  </si>
  <si>
    <t xml:space="preserve">0.1 g resolution, 5 kg capacity</t>
  </si>
  <si>
    <t xml:space="preserve">Every part weighed on arrival. Kits trimmed to exactly 200 g (rule C6).</t>
  </si>
  <si>
    <t xml:space="preserve">Hanging scale</t>
  </si>
  <si>
    <t xml:space="preserve">Calibrated, 50 kg, 10 g resolution — for the FLEET WEIGH-IN</t>
  </si>
  <si>
    <t xml:space="preserve">Rule C2 is a pass/fail check at 25 kg. Own a calibrated scale; do not discover a discrepancy at the venue.</t>
  </si>
  <si>
    <t xml:space="preserve">Bathroom scale — insufficient resolution</t>
  </si>
  <si>
    <t xml:space="preserve">Digital calipers + micrometer</t>
  </si>
  <si>
    <t xml:space="preserve">150 mm digital calipers, 0-25 mm micrometer</t>
  </si>
  <si>
    <t xml:space="preserve">Mitutoyo / generic</t>
  </si>
  <si>
    <t xml:space="preserve">CF tube OD/ID verification, fastener checks.</t>
  </si>
  <si>
    <t xml:space="preserve">Torque driver</t>
  </si>
  <si>
    <t xml:space="preserve">1-6 N·m adjustable, hex/Torx bits</t>
  </si>
  <si>
    <t xml:space="preserve">Wera / generic</t>
  </si>
  <si>
    <t xml:space="preserve">Motor and arm-clamp bolts must be torqued to spec, not to feel. Under-torqued clamps creep; over-torqued crush CF.</t>
  </si>
  <si>
    <t xml:space="preserve">Propeller balancer</t>
  </si>
  <si>
    <t xml:space="preserve">Magnetic prop balancer for 18 in props</t>
  </si>
  <si>
    <t xml:space="preserve">Du-Bro / generic</t>
  </si>
  <si>
    <t xml:space="preserve">Sizing §13: vibration fatigue is the real structural driver, and unbalanced props are the main source.</t>
  </si>
  <si>
    <t xml:space="preserve">Vibration analysis</t>
  </si>
  <si>
    <t xml:space="preserve">Use the FC IMU logs (free) + a USB accelerometer if needed</t>
  </si>
  <si>
    <t xml:space="preserve">ArduPilot/PX4 FFT logging is usually sufficient. Buy only if the notch tuning stalls.</t>
  </si>
  <si>
    <t xml:space="preserve">FC logs only</t>
  </si>
  <si>
    <t xml:space="preserve">Camera calibration target</t>
  </si>
  <si>
    <t xml:space="preserve">A2 checkerboard on rigid flat board + AprilTag set</t>
  </si>
  <si>
    <t xml:space="preserve">Print + mount</t>
  </si>
  <si>
    <t xml:space="preserve">Sizing §11: intrinsic calibration AND boresight extrinsic calibration. Skipping the second one leaves a 3-5 m systematic geotag bias.</t>
  </si>
  <si>
    <t xml:space="preserve">Printed on paper — flatness error corrupts the calibration</t>
  </si>
  <si>
    <t xml:space="preserve">BENCH AND FABRICATION</t>
  </si>
  <si>
    <t xml:space="preserve">Soldering station</t>
  </si>
  <si>
    <t xml:space="preserve">Temperature-controlled 80-100 W, with a large chisel tip for 10 AWG</t>
  </si>
  <si>
    <t xml:space="preserve">Hakko / generic</t>
  </si>
  <si>
    <t xml:space="preserve">10 AWG to XT90 needs real thermal mass. A 30 W iron will produce cold joints and in-flight failures.</t>
  </si>
  <si>
    <t xml:space="preserve">Hot air rework station</t>
  </si>
  <si>
    <t xml:space="preserve">For heat shrink and SMD work</t>
  </si>
  <si>
    <t xml:space="preserve">Heat gun</t>
  </si>
  <si>
    <t xml:space="preserve">Bench power supply</t>
  </si>
  <si>
    <t xml:space="preserve">0-30 V 10 A, current-limited</t>
  </si>
  <si>
    <t xml:space="preserve">Bring up new boards current-limited. Saves at least one Jetson.</t>
  </si>
  <si>
    <t xml:space="preserve">Multimeter</t>
  </si>
  <si>
    <t xml:space="preserve">True-RMS with continuity, 10 A range</t>
  </si>
  <si>
    <t xml:space="preserve">Fluke / generic</t>
  </si>
  <si>
    <t xml:space="preserve">3D printer</t>
  </si>
  <si>
    <t xml:space="preserve">FDM, 250 mm bed, PETG/ASA capable</t>
  </si>
  <si>
    <t xml:space="preserve">Bambu / Creality</t>
  </si>
  <si>
    <t xml:space="preserve">Canopy, magazine, ducts, jigs, and dozens of iterations of the release mechanism. Owning one is faster than outsourcing.</t>
  </si>
  <si>
    <t xml:space="preserve">Outsource printing; slower iteration</t>
  </si>
  <si>
    <t xml:space="preserve">Hand tool set</t>
  </si>
  <si>
    <t xml:space="preserve">Hex drivers, Torx, pliers, wire strippers, flush cutters, tweezers</t>
  </si>
  <si>
    <t xml:space="preserve">Rotary tool + CF cutting</t>
  </si>
  <si>
    <t xml:space="preserve">Dremel with diamond discs, plus dust extraction and P2 masks</t>
  </si>
  <si>
    <t xml:space="preserve">CARBON DUST IS A RESPIRATORY AND ELECTRICAL HAZARD. Extraction and masks are not optional, and CF dust shorts electronics.</t>
  </si>
  <si>
    <t xml:space="preserve">Outsource all CF cutting</t>
  </si>
  <si>
    <t xml:space="preserve">SIMULATION AND DEVELOPMENT</t>
  </si>
  <si>
    <t xml:space="preserve">Dev workstation / GPU</t>
  </si>
  <si>
    <t xml:space="preserve">RTX 4070-class or better, 32 GB RAM — for model training and SITL</t>
  </si>
  <si>
    <t xml:space="preserve">Development Plan P4/P7: 200-run Monte Carlo campaigns and detector training. Cloud GPU is an alternative but the P7 dataset iteration loop is faster locally.</t>
  </si>
  <si>
    <t xml:space="preserve">Cloud GPU rental (~INR 60/hr)</t>
  </si>
  <si>
    <t xml:space="preserve">Network switch + cabling</t>
  </si>
  <si>
    <t xml:space="preserve">8-port gigabit switch, patch cables</t>
  </si>
  <si>
    <t xml:space="preserve">Multi-machine SITL and mesh bench testing.</t>
  </si>
  <si>
    <t xml:space="preserve">05 — SPARES AND CONSUMABLES</t>
  </si>
  <si>
    <t xml:space="preserve">The spare aircraft line is the largest discretionary item; treat it as a risk-buy-down decision, not a nice-to-have.</t>
  </si>
  <si>
    <t xml:space="preserve">FLIGHT SPARES — Development Plan R4: a crash near the finals must not end the programme</t>
  </si>
  <si>
    <t xml:space="preserve">Spare motor</t>
  </si>
  <si>
    <t xml:space="preserve">MN5008 KV170</t>
  </si>
  <si>
    <t xml:space="preserve">One full aircraft set. Motors are the longest-lead flight-critical item.</t>
  </si>
  <si>
    <t xml:space="preserve">Spare ESC</t>
  </si>
  <si>
    <t xml:space="preserve">60 A 6-12S</t>
  </si>
  <si>
    <t xml:space="preserve">ESCs fail from vibration and heat; a spare set is the minimum.</t>
  </si>
  <si>
    <t xml:space="preserve">Spare propeller pairs</t>
  </si>
  <si>
    <t xml:space="preserve">18x6.1 CF folding CW/CCW</t>
  </si>
  <si>
    <t xml:space="preserve">Props are consumed by every hard landing. Six pairs is a realistic season.</t>
  </si>
  <si>
    <t xml:space="preserve">Spare arm assembly</t>
  </si>
  <si>
    <t xml:space="preserve">Tube + clamp + motor mount, built up</t>
  </si>
  <si>
    <t xml:space="preserve">Arms are what break in a tip-over. Pre-build them so a field repair is a 10-minute swap.</t>
  </si>
  <si>
    <t xml:space="preserve">Spare flight controller</t>
  </si>
  <si>
    <t xml:space="preserve">Pixhawk 6C, pre-flashed and pre-configured</t>
  </si>
  <si>
    <t xml:space="preserve">Pre-loaded with the frozen parameter set (Development Plan P10).</t>
  </si>
  <si>
    <t xml:space="preserve">Spare GNSS rover</t>
  </si>
  <si>
    <t xml:space="preserve">ZED-F9P with antenna</t>
  </si>
  <si>
    <t xml:space="preserve">Fly with M9N as a degraded fallback</t>
  </si>
  <si>
    <t xml:space="preserve">Spare companion computer</t>
  </si>
  <si>
    <t xml:space="preserve">Jetson Orin Nano, imaged and with the TensorRT engine pre-built</t>
  </si>
  <si>
    <t xml:space="preserve">NVIDIA</t>
  </si>
  <si>
    <t xml:space="preserve">Sizing §15: never JIT-build a TensorRT engine at boot. The spare must be imaged and warm-cached too.</t>
  </si>
  <si>
    <t xml:space="preserve">Spare camera + lens</t>
  </si>
  <si>
    <t xml:space="preserve">IMX477 + 6 mm lens, boresight-calibrated on a spare mount</t>
  </si>
  <si>
    <t xml:space="preserve">Note: swapping the camera invalidates the boresight calibration. Calibrate the spare in advance.</t>
  </si>
  <si>
    <t xml:space="preserve">Spare battery pack</t>
  </si>
  <si>
    <t xml:space="preserve">Complete 6S3P pack</t>
  </si>
  <si>
    <t xml:space="preserve">In-house build</t>
  </si>
  <si>
    <t xml:space="preserve">Two packs per aircraft minimum so a test day is not charger-limited; the third is the crash reserve.</t>
  </si>
  <si>
    <t xml:space="preserve">COMPLETE SPARE AIRCRAFT</t>
  </si>
  <si>
    <t xml:space="preserve">Fourth airframe, fully built and flight-tested</t>
  </si>
  <si>
    <t xml:space="preserve">8 wk</t>
  </si>
  <si>
    <t xml:space="preserve">STRONGLY RECOMMENDED. Rule C1 needs only 2 aircraft flying, but a pre-flight failure on finals day with no spare means flying 2 and losing coverage. Budget-dependent.</t>
  </si>
  <si>
    <t xml:space="preserve">Rely on component spares only</t>
  </si>
  <si>
    <t xml:space="preserve">CONSUMABLES</t>
  </si>
  <si>
    <t xml:space="preserve">Threadlocker</t>
  </si>
  <si>
    <t xml:space="preserve">Loctite 243 (medium), 50 ml</t>
  </si>
  <si>
    <t xml:space="preserve">Every fastener on a vibrating airframe. Use medium strength so field disassembly is possible.</t>
  </si>
  <si>
    <t xml:space="preserve">Cyanoacrylate + epoxy</t>
  </si>
  <si>
    <t xml:space="preserve">CA thin/thick, 30-min structural epoxy</t>
  </si>
  <si>
    <t xml:space="preserve">Heat shrink assortment</t>
  </si>
  <si>
    <t xml:space="preserve">2-20 mm, adhesive-lined</t>
  </si>
  <si>
    <t xml:space="preserve">Zip ties + lacing cord</t>
  </si>
  <si>
    <t xml:space="preserve">Assorted, plus Kevlar lacing for harness routing</t>
  </si>
  <si>
    <t xml:space="preserve">Kapton + fibreglass tape</t>
  </si>
  <si>
    <t xml:space="preserve">25 mm rolls</t>
  </si>
  <si>
    <t xml:space="preserve">Cell insulation and heat-resistant wrapping.</t>
  </si>
  <si>
    <t xml:space="preserve">3M VHB tape</t>
  </si>
  <si>
    <t xml:space="preserve">19 mm x 5 m, and foam mounting tape</t>
  </si>
  <si>
    <t xml:space="preserve">Solder + flux</t>
  </si>
  <si>
    <t xml:space="preserve">Leaded 60/40 1 mm, no-clean flux, desoldering braid</t>
  </si>
  <si>
    <t xml:space="preserve">Leaded solder is easier and more reliable for hand-built flight hardware.</t>
  </si>
  <si>
    <t xml:space="preserve">Lead-free if institutionally required</t>
  </si>
  <si>
    <t xml:space="preserve">3D printer filament</t>
  </si>
  <si>
    <t xml:space="preserve">PETG 3 kg, ASA 1 kg, TPU 1 kg</t>
  </si>
  <si>
    <t xml:space="preserve">Magazine and canopy iterations consume more than you expect.</t>
  </si>
  <si>
    <t xml:space="preserve">Carbon plate stock</t>
  </si>
  <si>
    <t xml:space="preserve">2.5 mm and 3 mm 3K twill sheets, 400x500 mm</t>
  </si>
  <si>
    <t xml:space="preserve">CF supplier</t>
  </si>
  <si>
    <t xml:space="preserve">For plate re-cuts and repair doublers.</t>
  </si>
  <si>
    <t xml:space="preserve">Velcro + battery straps</t>
  </si>
  <si>
    <t xml:space="preserve">Hook-loop, 50 mm, plus spare straps</t>
  </si>
  <si>
    <t xml:space="preserve">Nitrile gloves + P2 masks</t>
  </si>
  <si>
    <t xml:space="preserve">Box of 100 + 20 masks</t>
  </si>
  <si>
    <t xml:space="preserve">CF machining and epoxy work.</t>
  </si>
  <si>
    <t xml:space="preserve">Cleaning supplies</t>
  </si>
  <si>
    <t xml:space="preserve">IPA 1 L, lint-free wipes, compressed air</t>
  </si>
  <si>
    <t xml:space="preserve">Camera lens and connector cleaning; CF dust removal.</t>
  </si>
  <si>
    <t xml:space="preserve">06 — SOFTWARE, DATA AND COMPLIANCE</t>
  </si>
  <si>
    <t xml:space="preserve">Mostly zero-cost, listed so nothing is forgotten. Two items are frequently missed and cost points: offline map tiles, and ETA status of radios.</t>
  </si>
  <si>
    <t xml:space="preserve">FLIGHT AND AUTONOMY STACK — all open source</t>
  </si>
  <si>
    <t xml:space="preserve">Autopilot firmware</t>
  </si>
  <si>
    <t xml:space="preserve">ArduPilot Copter 4.5+ or PX4 v1.15+</t>
  </si>
  <si>
    <t xml:space="preserve">ardupilot.org / px4.io</t>
  </si>
  <si>
    <t xml:space="preserve">Sizing §1: proven stabilisation and failsafes. Choose one and standardise the whole fleet on it.</t>
  </si>
  <si>
    <t xml:space="preserve">Middleware</t>
  </si>
  <si>
    <t xml:space="preserve">ROS 2 Humble/Jazzy with Fast DDS</t>
  </si>
  <si>
    <t xml:space="preserve">ros.org</t>
  </si>
  <si>
    <t xml:space="preserve">Sizing: DDS discovery and QoS map well to a lossy mobile mesh.</t>
  </si>
  <si>
    <t xml:space="preserve">MAVSDK only — simpler, less capable</t>
  </si>
  <si>
    <t xml:space="preserve">MAVLink bridge</t>
  </si>
  <si>
    <t xml:space="preserve">MAVROS or uXRCE-DDS</t>
  </si>
  <si>
    <t xml:space="preserve">GitHub</t>
  </si>
  <si>
    <t xml:space="preserve">FC to companion link.</t>
  </si>
  <si>
    <t xml:space="preserve">MAVLink router</t>
  </si>
  <si>
    <t xml:space="preserve">mavlink-router or MAVProxy</t>
  </si>
  <si>
    <t xml:space="preserve">Rule C10: multiplexes 3 unique SYSIDs into ONE ground station process.</t>
  </si>
  <si>
    <t xml:space="preserve">Mesh routing</t>
  </si>
  <si>
    <t xml:space="preserve">batman-adv (Linux kernel module) on OpenWrt or Ubuntu</t>
  </si>
  <si>
    <t xml:space="preserve">open-mesh.org</t>
  </si>
  <si>
    <t xml:space="preserve">Layer-2 mesh; the same technology commercial MANET radios run underneath.</t>
  </si>
  <si>
    <t xml:space="preserve">OLSR, Babel</t>
  </si>
  <si>
    <t xml:space="preserve">Simulator</t>
  </si>
  <si>
    <t xml:space="preserve">Gazebo Harmonic + ArduPilot/PX4 SITL</t>
  </si>
  <si>
    <t xml:space="preserve">gazebosim.org</t>
  </si>
  <si>
    <t xml:space="preserve">Development Plan P4: 200-run Monte Carlo campaigns before any hardware flies.</t>
  </si>
  <si>
    <t xml:space="preserve">jMAVSim (lighter, less realistic)</t>
  </si>
  <si>
    <t xml:space="preserve">Coverage planner</t>
  </si>
  <si>
    <t xml:space="preserve">DARP reference implementation (github.com/athakapo/DARP)</t>
  </si>
  <si>
    <t xml:space="preserve">Sizing/Plan §2.3: equal-area partitioning anchored to a common launch point.</t>
  </si>
  <si>
    <t xml:space="preserve">Write your own boustrophedon decomposition</t>
  </si>
  <si>
    <t xml:space="preserve">Task allocation</t>
  </si>
  <si>
    <t xml:space="preserve">CBBA reference implementation</t>
  </si>
  <si>
    <t xml:space="preserve">Plan §2.4: Choi, Brunet &amp; How (2009), provable conflict-free convergence.</t>
  </si>
  <si>
    <t xml:space="preserve">Centralised Hungarian assignment — fails on link loss</t>
  </si>
  <si>
    <t xml:space="preserve">PERCEPTION</t>
  </si>
  <si>
    <t xml:space="preserve">Detector framework</t>
  </si>
  <si>
    <t xml:space="preserve">Ultralytics YOLO (AGPL — check licence terms for competition use)</t>
  </si>
  <si>
    <t xml:space="preserve">ultralytics.com</t>
  </si>
  <si>
    <t xml:space="preserve">Sizing §8.2. NOTE: AGPL has implications if you distribute. Verify against NIDAR IP terms.</t>
  </si>
  <si>
    <t xml:space="preserve">MMDetection (Apache 2.0), YOLOX</t>
  </si>
  <si>
    <t xml:space="preserve">Inference runtime</t>
  </si>
  <si>
    <t xml:space="preserve">TensorRT + DeepStream (included with JetPack)</t>
  </si>
  <si>
    <t xml:space="preserve">Sizing §8.2: FP16 TensorRT is what gets you 24-40 FPS on an Orin Nano.</t>
  </si>
  <si>
    <t xml:space="preserve">ONNX Runtime — slower</t>
  </si>
  <si>
    <t xml:space="preserve">Tiled inference</t>
  </si>
  <si>
    <t xml:space="preserve">SAHI (Akyon et al., ICIP 2022)</t>
  </si>
  <si>
    <t xml:space="preserve">Sizing §8.2: recovers small-object recall that whole-frame resizing destroys.</t>
  </si>
  <si>
    <t xml:space="preserve">Custom tiling loop</t>
  </si>
  <si>
    <t xml:space="preserve">Annotation tool</t>
  </si>
  <si>
    <t xml:space="preserve">CVAT (self-hosted) or Roboflow</t>
  </si>
  <si>
    <t xml:space="preserve">cvat.ai</t>
  </si>
  <si>
    <t xml:space="preserve">Development Plan P7: ≥2,000 frames of your own field data. Self-host to avoid per-seat costs.</t>
  </si>
  <si>
    <t xml:space="preserve">LabelImg — no team workflow</t>
  </si>
  <si>
    <t xml:space="preserve">Public datasets</t>
  </si>
  <si>
    <t xml:space="preserve">HERIDAL, SARD, WiSARD</t>
  </si>
  <si>
    <t xml:space="preserve">Research groups (request access)</t>
  </si>
  <si>
    <t xml:space="preserve">2-4 wk</t>
  </si>
  <si>
    <t xml:space="preserve">Sizing §8: baseline benchmarks. Reproduce published metrics (YOLOv5L: P 0.90 / R 0.89 on HERIDAL) to validate your pipeline before trusting your own data.</t>
  </si>
  <si>
    <t xml:space="preserve">COCO-pretrained only — will fail on supine targets</t>
  </si>
  <si>
    <t xml:space="preserve">Camera calibration</t>
  </si>
  <si>
    <t xml:space="preserve">OpenCV / Kalibr</t>
  </si>
  <si>
    <t xml:space="preserve">opencv.org</t>
  </si>
  <si>
    <t xml:space="preserve">Sizing §11: intrinsics AND the camera-to-body boresight extrinsic.</t>
  </si>
  <si>
    <t xml:space="preserve">GROUND STATION AND TOOLING</t>
  </si>
  <si>
    <t xml:space="preserve">GCS framework</t>
  </si>
  <si>
    <t xml:space="preserve">React + Node/Python back-end (custom build)</t>
  </si>
  <si>
    <t xml:space="preserve">~6 wk eng</t>
  </si>
  <si>
    <t xml:space="preserve">Plan §2.11: the rule C11 display set does not exist in stock Mission Planner or QGroundControl. Budget it as a real subsystem.</t>
  </si>
  <si>
    <t xml:space="preserve">QGroundControl + custom side panel</t>
  </si>
  <si>
    <t xml:space="preserve">Map tiles</t>
  </si>
  <si>
    <t xml:space="preserve">Offline tile pack for the venue and test sites</t>
  </si>
  <si>
    <t xml:space="preserve">OSM / QGIS export</t>
  </si>
  <si>
    <t xml:space="preserve">RULE C12 FORBIDS INTERNET. Online map tiles will not load at the venue. Cache offline tiles in advance — teams lose points to this every year.</t>
  </si>
  <si>
    <t xml:space="preserve">No basemap — badly degrades the C11 display</t>
  </si>
  <si>
    <t xml:space="preserve">Version control + CI</t>
  </si>
  <si>
    <t xml:space="preserve">Git, self-hosted runner</t>
  </si>
  <si>
    <t xml:space="preserve">GitHub / GitLab</t>
  </si>
  <si>
    <t xml:space="preserve">Plan §1.5: every flight runs a tagged commit.</t>
  </si>
  <si>
    <t xml:space="preserve">Containerisation</t>
  </si>
  <si>
    <t xml:space="preserve">Docker with an arm64 build for the Jetson</t>
  </si>
  <si>
    <t xml:space="preserve">docker.com</t>
  </si>
  <si>
    <t xml:space="preserve">Deploy the identical container to SITL and to the aircraft.</t>
  </si>
  <si>
    <t xml:space="preserve">Bare-metal installs — drift between machines</t>
  </si>
  <si>
    <t xml:space="preserve">REGULATORY AND ADMIN</t>
  </si>
  <si>
    <t xml:space="preserve">DGCA compliance</t>
  </si>
  <si>
    <t xml:space="preserve">Airspace zone check for every test site; operator/pilot requirements</t>
  </si>
  <si>
    <t xml:space="preserve">Digital Sky</t>
  </si>
  <si>
    <t xml:space="preserve">Development Plan P0 exit gate. Confirm the zone colour for each site BEFORE booking a test campaign.</t>
  </si>
  <si>
    <t xml:space="preserve">WPC / ETA verification</t>
  </si>
  <si>
    <t xml:space="preserve">Equipment Type Approval status for every radio flown</t>
  </si>
  <si>
    <t xml:space="preserve">WPC / vendor</t>
  </si>
  <si>
    <t xml:space="preserve">Sizing §12: 5.825-5.875 GHz is delicensed for drones and 865-867 MHz for SRDs, but the EQUIPMENT still needs ETA. Check before purchase, not after.</t>
  </si>
  <si>
    <t xml:space="preserve">Insurance</t>
  </si>
  <si>
    <t xml:space="preserve">Third-party liability for flight operations</t>
  </si>
  <si>
    <t xml:space="preserve">Insurer</t>
  </si>
  <si>
    <t xml:space="preserve">Many test sites and institutions require it.</t>
  </si>
  <si>
    <t xml:space="preserve">07 — MASS ROLLUP AND RULE C2 COMPLIANCE CHECK</t>
  </si>
  <si>
    <t xml:space="preserve">Rule C2: the COMBINED all-up weight of all deployed drones, including batteries, payloads and every accessory, must not exceed 25 kg.</t>
  </si>
  <si>
    <t xml:space="preserve">Group</t>
  </si>
  <si>
    <t xml:space="preserve">Sizing model (g)</t>
  </si>
  <si>
    <t xml:space="preserve">BOM estimate (g)</t>
  </si>
  <si>
    <t xml:space="preserve">Actual measured (g)</t>
  </si>
  <si>
    <t xml:space="preserve">Delta vs model</t>
  </si>
  <si>
    <t xml:space="preserve">Note</t>
  </si>
  <si>
    <t xml:space="preserve">Structure</t>
  </si>
  <si>
    <t xml:space="preserve">01 Air Vehicle BOM structure section</t>
  </si>
  <si>
    <t xml:space="preserve">Propulsion (motors, ESCs, props, hubs)</t>
  </si>
  <si>
    <t xml:space="preserve">MN5008 135 g x4 + ESC 45 g x4 + props 116 g x2 pr + hubs</t>
  </si>
  <si>
    <t xml:space="preserve">Power (pack + distribution)</t>
  </si>
  <si>
    <t xml:space="preserve">6S3P pack 1449 g + PDB/BEC/wire/connectors 275 g</t>
  </si>
  <si>
    <t xml:space="preserve">Avionics</t>
  </si>
  <si>
    <t xml:space="preserve">FC, 2x F9P, antennas, RX, safety switch, SD</t>
  </si>
  <si>
    <t xml:space="preserve">Compute &amp; perception</t>
  </si>
  <si>
    <t xml:space="preserve">Orin Nano 185 g, camera+lens+mount, SSD, cooler, cables</t>
  </si>
  <si>
    <t xml:space="preserve">Communications</t>
  </si>
  <si>
    <t xml:space="preserve">Mesh card + antennas + pigtails + 868 MHz radio</t>
  </si>
  <si>
    <t xml:space="preserve">Payload mechanism</t>
  </si>
  <si>
    <t xml:space="preserve">Magazine, 4 servos, detents, switches, harness</t>
  </si>
  <si>
    <t xml:space="preserve">Survivor kits (4 x 200 g)</t>
  </si>
  <si>
    <t xml:space="preserve">Rule C6 fixes this at exactly 200 g per kit</t>
  </si>
  <si>
    <t xml:space="preserve">MTOW per aircraft (g)</t>
  </si>
  <si>
    <t xml:space="preserve">Bottom-up line-item total, tab 01 (g)</t>
  </si>
  <si>
    <t xml:space="preserve">Sum of every line on tab 01. Differs from the group rollup above because group figures are the sizing-model allocations, not the summed parts.</t>
  </si>
  <si>
    <t xml:space="preserve">Reconciliation delta (g)</t>
  </si>
  <si>
    <t xml:space="preserve">Investigate anything beyond +/-5%. Track the bottom-up number once parts arrive.</t>
  </si>
  <si>
    <t xml:space="preserve">Aircraft in fleet</t>
  </si>
  <si>
    <t xml:space="preserve">FLEET ALL-UP WEIGHT (g)</t>
  </si>
  <si>
    <t xml:space="preserve">Rule C2 limit (g)</t>
  </si>
  <si>
    <t xml:space="preserve">Team working target (g)</t>
  </si>
  <si>
    <t xml:space="preserve">Margin to rule limit (g)</t>
  </si>
  <si>
    <t xml:space="preserve">Margin to rule limit (%)</t>
  </si>
  <si>
    <t xml:space="preserve">Build overweight tolerated before hitting target</t>
  </si>
  <si>
    <t xml:space="preserve">PERFORMANCE AT THIS MASS (recomputed from the sizing model)</t>
  </si>
  <si>
    <t xml:space="preserve">Hover electrical power (W)</t>
  </si>
  <si>
    <t xml:space="preserve">Momentum theory, FM 0.60, 18 in props, rho 1.150</t>
  </si>
  <si>
    <t xml:space="preserve">Pack usable energy (Wh, 80% DoD)</t>
  </si>
  <si>
    <t xml:space="preserve">292 Wh x 0.80</t>
  </si>
  <si>
    <t xml:space="preserve">Hover endurance (min)</t>
  </si>
  <si>
    <t xml:space="preserve">Usable energy / hover power</t>
  </si>
  <si>
    <t xml:space="preserve">Design mission duration (min)</t>
  </si>
  <si>
    <t xml:space="preserve">Sizing §9.1 segment budget</t>
  </si>
  <si>
    <t xml:space="preserve">Endurance ratio</t>
  </si>
  <si>
    <t xml:space="preserve">Target &gt;= 2.0 per the reserve policy</t>
  </si>
  <si>
    <t xml:space="preserve">Mission energy (Wh)</t>
  </si>
  <si>
    <t xml:space="preserve">Scaled from the 5.05 kg case by (m/m0)^1.5</t>
  </si>
  <si>
    <t xml:space="preserve">State of charge at landing (%)</t>
  </si>
  <si>
    <t xml:space="preserve">1 - mission energy / pack energy</t>
  </si>
  <si>
    <t xml:space="preserve">Hover current (A)</t>
  </si>
  <si>
    <t xml:space="preserve">784 W / 21.6 V</t>
  </si>
  <si>
    <t xml:space="preserve">Peak current at T/W=2 (A)</t>
  </si>
  <si>
    <t xml:space="preserve">P ~ T^1.5, so peak power is 2.7x hover</t>
  </si>
  <si>
    <t xml:space="preserve">Pack burst capability (A)</t>
  </si>
  <si>
    <t xml:space="preserve">3P x 45 A (Molicel P45B)</t>
  </si>
  <si>
    <t xml:space="preserve">Current margin (%)</t>
  </si>
  <si>
    <t xml:space="preserve">Pack burst vs peak demand</t>
  </si>
  <si>
    <t xml:space="preserve">Max thrust-to-weight</t>
  </si>
  <si>
    <t xml:space="preserve">4 x 4.1 kgf / 5.71 kg</t>
  </si>
  <si>
    <t xml:space="preserve">Hover throttle point (% of max thrust)</t>
  </si>
  <si>
    <t xml:space="preserve">Below the ideal 45-55% band — over-motored, accepted for wind headroom</t>
  </si>
  <si>
    <t xml:space="preserve">REVISIONS FROM THE SIZING REPORT (hardware-forced)</t>
  </si>
  <si>
    <t xml:space="preserve">1. Props 20 in -&gt; 18x6.1. The MN5008 KV170 is rated for 17-18 in. Hover power rises 605 -&gt; 666 W at the old mass.</t>
  </si>
  <si>
    <t xml:space="preserve">2. Pack 6S2P -&gt; 6S3P. 6S2P left only 9% current margin at peak thrust; 6S3P gives 38% and lifts the endurance ratio from 1.8x to 2.3x.</t>
  </si>
  <si>
    <t xml:space="preserve">3. MTOW 5.05 -&gt; 5.71 kg; fleet 15.16 -&gt; 17.12 kg. Margin under the 25 kg rule falls from 39% to 32%. Still ample.</t>
  </si>
  <si>
    <t xml:space="preserve">4. The motor is over-sized for the requirement (hover at 35% of max, not the ideal 45-55%). Accepted: T/W 2.87 buys wind and recovery authority, and the mass margin pays for it.</t>
  </si>
  <si>
    <t xml:space="preserve">08 — PROGRAMME COST SUMMARY</t>
  </si>
  <si>
    <t xml:space="preserve">Indicative budgetary estimates in INR. Not quotations. Re-price at the Phase 1 procurement gate.</t>
  </si>
  <si>
    <t xml:space="preserve">Category</t>
  </si>
  <si>
    <t xml:space="preserve">Qty / Sets</t>
  </si>
  <si>
    <t xml:space="preserve">Unit Cost (INR)</t>
  </si>
  <si>
    <t xml:space="preserve">Extended (INR)</t>
  </si>
  <si>
    <t xml:space="preserve">Air vehicle, per aircraft</t>
  </si>
  <si>
    <t xml:space="preserve">Flight hardware only. See tab 01.</t>
  </si>
  <si>
    <t xml:space="preserve">Payload, kits and ground-truth targets</t>
  </si>
  <si>
    <t xml:space="preserve">Fleet quantities. See tab 02.</t>
  </si>
  <si>
    <t xml:space="preserve">Ground segment and field infrastructure</t>
  </si>
  <si>
    <t xml:space="preserve">One set. See tab 03.</t>
  </si>
  <si>
    <t xml:space="preserve">Test, lab and calibration equipment</t>
  </si>
  <si>
    <t xml:space="preserve">Capital equipment. See tab 04.</t>
  </si>
  <si>
    <t xml:space="preserve">Spares and consumables</t>
  </si>
  <si>
    <t xml:space="preserve">Includes the optional 4th aircraft. See tab 05.</t>
  </si>
  <si>
    <t xml:space="preserve">Software, data and compliance</t>
  </si>
  <si>
    <t xml:space="preserve">Near zero — open-source stack.</t>
  </si>
  <si>
    <t xml:space="preserve">SUBTOTAL — hardware and equipment</t>
  </si>
  <si>
    <t xml:space="preserve">Customs duty + freight on imported items</t>
  </si>
  <si>
    <t xml:space="preserve">Assumed 22% blended on the ~60% of spend that is imported (motors, F9P, Jetson, T-Motor props, thrust stand). Refine per HSN code.</t>
  </si>
  <si>
    <t xml:space="preserve">GST</t>
  </si>
  <si>
    <t xml:space="preserve">18% assumed. Institutional purchases may be exempt — check.</t>
  </si>
  <si>
    <t xml:space="preserve">Contingency</t>
  </si>
  <si>
    <t xml:space="preserve">20%. Hardware programmes with student build quality consume it: crashes, magic smoke, re-spins of the release mechanism.</t>
  </si>
  <si>
    <t xml:space="preserve">TOTAL PROGRAMME COST</t>
  </si>
  <si>
    <t xml:space="preserve">LEAN CONFIGURATION (same mission capability, reduced margin)</t>
  </si>
  <si>
    <t xml:space="preserve">Deduct: 4th spare aircraft</t>
  </si>
  <si>
    <t xml:space="preserve">Deduct: RTK base station kit</t>
  </si>
  <si>
    <t xml:space="preserve">Deduct: 3x RTK rover + heading GNSS, revert to M9N</t>
  </si>
  <si>
    <t xml:space="preserve">Deduct: instrumented thrust stand, use a DIY load-cell rig</t>
  </si>
  <si>
    <t xml:space="preserve">Deduct: dev workstation, use existing lab GPU + cloud</t>
  </si>
  <si>
    <t xml:space="preserve">Deduct: backup GCS laptop, use a team member machine</t>
  </si>
  <si>
    <t xml:space="preserve">Deduct: solar panel</t>
  </si>
  <si>
    <t xml:space="preserve">LEAN SUBTOTAL</t>
  </si>
  <si>
    <t xml:space="preserve">LEAN TOTAL (with duty, GST, contingency)</t>
  </si>
  <si>
    <t xml:space="preserve">Accepts: no spare airframe (R4 exposure), geotag CEP ~2.5 m instead of ~1.1 m, and figure of merit stays an assumption instead of a measurement.</t>
  </si>
  <si>
    <t xml:space="preserve">COST REDUCTION LEVERS (if the budget is constrained)</t>
  </si>
  <si>
    <t xml:space="preserve">1. Drop the spare aircraft (~INR 1.85 L). Highest saving, highest risk. Keep component spares.</t>
  </si>
  <si>
    <t xml:space="preserve">2. Drop the RTK base and rovers (~INR 1.1 L). Geotag CEP goes 1.1 m -&gt; 2.5 m. Acceptable if the rulebook tolerance is &gt;=5 m.</t>
  </si>
  <si>
    <t xml:space="preserve">3. Build a DIY load-cell thrust stand instead of an RCbenchmark (~INR 1.3 L saved). Lower fidelity on the FM assumption, which is the biggest uncertainty in the power model.</t>
  </si>
  <si>
    <t xml:space="preserve">4. Use an existing lab GPU workstation and cloud training instead of buying one (~INR 1.8 L).</t>
  </si>
  <si>
    <t xml:space="preserve">5. Mesh Tier A (commodity 802.11 + batman-adv) is already the cheapest option — do not downgrade further; the link is mission-critical.</t>
  </si>
  <si>
    <t xml:space="preserve">DO NOT CUT: the safety equipment, the calibrated weigh-in scale, the calibration targets, or the field data campaign.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</si>
</sst>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#,##0.0"/>
    <numFmt numFmtId="167" formatCode="#,##0"/>
    <numFmt numFmtId="168" formatCode="#,##0;\(#,##0\);\-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4" t="s">
        <v>3</v>
      </c>
    </row>
    <row r="6" customFormat="false" ht="39" hidden="false" customHeight="true" outlineLevel="0" collapsed="false">
      <c r="B6" s="3" t="s">
        <v>4</v>
      </c>
      <c r="C6" s="4" t="s">
        <v>5</v>
      </c>
    </row>
    <row r="7" customFormat="false" ht="64.5" hidden="false" customHeight="true" outlineLevel="0" collapsed="false">
      <c r="B7" s="3" t="s">
        <v>6</v>
      </c>
      <c r="C7" s="4" t="s">
        <v>7</v>
      </c>
    </row>
    <row r="8" customFormat="false" ht="39" hidden="false" customHeight="true" outlineLevel="0" collapsed="false">
      <c r="B8" s="3" t="s">
        <v>8</v>
      </c>
      <c r="C8" s="4" t="s">
        <v>9</v>
      </c>
    </row>
    <row r="9" customFormat="false" ht="39" hidden="false" customHeight="true" outlineLevel="0" collapsed="false">
      <c r="B9" s="3" t="s">
        <v>10</v>
      </c>
      <c r="C9" s="4" t="s">
        <v>11</v>
      </c>
    </row>
    <row r="10" customFormat="false" ht="39" hidden="false" customHeight="true" outlineLevel="0" collapsed="false">
      <c r="B10" s="3" t="s">
        <v>12</v>
      </c>
      <c r="C10" s="4" t="s">
        <v>13</v>
      </c>
    </row>
    <row r="11" customFormat="false" ht="39" hidden="false" customHeight="true" outlineLevel="0" collapsed="false">
      <c r="B11" s="3" t="s">
        <v>14</v>
      </c>
      <c r="C11" s="4" t="s">
        <v>15</v>
      </c>
    </row>
    <row r="12" customFormat="false" ht="39" hidden="false" customHeight="true" outlineLevel="0" collapsed="false">
      <c r="B12" s="3" t="s">
        <v>16</v>
      </c>
      <c r="C12" s="4" t="s">
        <v>17</v>
      </c>
    </row>
    <row r="14" customFormat="false" ht="15" hidden="false" customHeight="false" outlineLevel="0" collapsed="false">
      <c r="B14" s="5" t="s">
        <v>18</v>
      </c>
    </row>
    <row r="15" customFormat="false" ht="15" hidden="false" customHeight="false" outlineLevel="0" collapsed="false">
      <c r="B15" s="6" t="s">
        <v>19</v>
      </c>
      <c r="C15" s="6" t="s">
        <v>20</v>
      </c>
    </row>
    <row r="16" customFormat="false" ht="15" hidden="false" customHeight="false" outlineLevel="0" collapsed="false">
      <c r="B16" s="6" t="s">
        <v>21</v>
      </c>
      <c r="C16" s="6" t="s">
        <v>22</v>
      </c>
    </row>
    <row r="17" customFormat="false" ht="15" hidden="false" customHeight="false" outlineLevel="0" collapsed="false">
      <c r="B17" s="6" t="s">
        <v>23</v>
      </c>
      <c r="C17" s="6" t="s">
        <v>24</v>
      </c>
    </row>
    <row r="18" customFormat="false" ht="15" hidden="false" customHeight="false" outlineLevel="0" collapsed="false">
      <c r="B18" s="6" t="s">
        <v>25</v>
      </c>
      <c r="C18" s="6" t="s">
        <v>26</v>
      </c>
    </row>
    <row r="19" customFormat="false" ht="15" hidden="false" customHeight="false" outlineLevel="0" collapsed="false">
      <c r="B19" s="6" t="s">
        <v>27</v>
      </c>
      <c r="C19" s="6" t="s">
        <v>28</v>
      </c>
    </row>
    <row r="20" customFormat="false" ht="15" hidden="false" customHeight="false" outlineLevel="0" collapsed="false">
      <c r="B20" s="6" t="s">
        <v>29</v>
      </c>
      <c r="C20" s="6" t="s">
        <v>30</v>
      </c>
    </row>
    <row r="21" customFormat="false" ht="15" hidden="false" customHeight="false" outlineLevel="0" collapsed="false">
      <c r="B21" s="6" t="s">
        <v>31</v>
      </c>
      <c r="C21" s="6" t="s">
        <v>32</v>
      </c>
    </row>
    <row r="22" customFormat="false" ht="15" hidden="false" customHeight="false" outlineLevel="0" collapsed="false">
      <c r="B22" s="6" t="s">
        <v>33</v>
      </c>
      <c r="C22" s="6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2" t="s">
        <v>36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50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23.85" hidden="false" customHeight="false" outlineLevel="0" collapsed="false">
      <c r="A5" s="10" t="n">
        <v>1</v>
      </c>
      <c r="B5" s="11" t="s">
        <v>51</v>
      </c>
      <c r="C5" s="11" t="s">
        <v>52</v>
      </c>
      <c r="D5" s="10" t="n">
        <v>4</v>
      </c>
      <c r="E5" s="12" t="n">
        <v>95</v>
      </c>
      <c r="F5" s="13" t="n">
        <f aca="false">D5*E5</f>
        <v>380</v>
      </c>
      <c r="G5" s="14" t="n">
        <v>1200</v>
      </c>
      <c r="H5" s="14" t="n">
        <f aca="false">D5*G5</f>
        <v>4800</v>
      </c>
      <c r="I5" s="15"/>
      <c r="J5" s="11" t="s">
        <v>53</v>
      </c>
      <c r="K5" s="10" t="s">
        <v>54</v>
      </c>
      <c r="L5" s="11" t="s">
        <v>55</v>
      </c>
      <c r="M5" s="11" t="s">
        <v>56</v>
      </c>
    </row>
    <row r="6" customFormat="false" ht="23.85" hidden="false" customHeight="false" outlineLevel="0" collapsed="false">
      <c r="A6" s="10" t="n">
        <v>2</v>
      </c>
      <c r="B6" s="11" t="s">
        <v>57</v>
      </c>
      <c r="C6" s="11" t="s">
        <v>58</v>
      </c>
      <c r="D6" s="10" t="n">
        <v>2</v>
      </c>
      <c r="E6" s="12" t="n">
        <v>155</v>
      </c>
      <c r="F6" s="13" t="n">
        <f aca="false">D6*E6</f>
        <v>310</v>
      </c>
      <c r="G6" s="14" t="n">
        <v>3500</v>
      </c>
      <c r="H6" s="14" t="n">
        <f aca="false">D6*G6</f>
        <v>7000</v>
      </c>
      <c r="I6" s="15"/>
      <c r="J6" s="11" t="s">
        <v>59</v>
      </c>
      <c r="K6" s="10" t="s">
        <v>60</v>
      </c>
      <c r="L6" s="11" t="s">
        <v>61</v>
      </c>
      <c r="M6" s="11" t="s">
        <v>62</v>
      </c>
    </row>
    <row r="7" customFormat="false" ht="23.85" hidden="false" customHeight="false" outlineLevel="0" collapsed="false">
      <c r="A7" s="10" t="n">
        <v>3</v>
      </c>
      <c r="B7" s="11" t="s">
        <v>63</v>
      </c>
      <c r="C7" s="11" t="s">
        <v>64</v>
      </c>
      <c r="D7" s="10" t="n">
        <v>4</v>
      </c>
      <c r="E7" s="12" t="n">
        <v>45</v>
      </c>
      <c r="F7" s="13" t="n">
        <f aca="false">D7*E7</f>
        <v>180</v>
      </c>
      <c r="G7" s="14" t="n">
        <v>900</v>
      </c>
      <c r="H7" s="14" t="n">
        <f aca="false">D7*G7</f>
        <v>3600</v>
      </c>
      <c r="I7" s="15"/>
      <c r="J7" s="11" t="s">
        <v>65</v>
      </c>
      <c r="K7" s="10" t="s">
        <v>60</v>
      </c>
      <c r="L7" s="11" t="s">
        <v>66</v>
      </c>
      <c r="M7" s="11" t="s">
        <v>67</v>
      </c>
    </row>
    <row r="8" customFormat="false" ht="23.85" hidden="false" customHeight="false" outlineLevel="0" collapsed="false">
      <c r="A8" s="10" t="n">
        <v>4</v>
      </c>
      <c r="B8" s="11" t="s">
        <v>68</v>
      </c>
      <c r="C8" s="11" t="s">
        <v>69</v>
      </c>
      <c r="D8" s="10" t="n">
        <v>4</v>
      </c>
      <c r="E8" s="12" t="n">
        <v>22</v>
      </c>
      <c r="F8" s="13" t="n">
        <f aca="false">D8*E8</f>
        <v>88</v>
      </c>
      <c r="G8" s="14" t="n">
        <v>450</v>
      </c>
      <c r="H8" s="14" t="n">
        <f aca="false">D8*G8</f>
        <v>1800</v>
      </c>
      <c r="I8" s="15"/>
      <c r="J8" s="11" t="s">
        <v>59</v>
      </c>
      <c r="K8" s="10" t="s">
        <v>60</v>
      </c>
      <c r="L8" s="11" t="s">
        <v>70</v>
      </c>
      <c r="M8" s="11" t="s">
        <v>71</v>
      </c>
    </row>
    <row r="9" customFormat="false" ht="23.85" hidden="false" customHeight="false" outlineLevel="0" collapsed="false">
      <c r="A9" s="10" t="n">
        <v>5</v>
      </c>
      <c r="B9" s="11" t="s">
        <v>72</v>
      </c>
      <c r="C9" s="11" t="s">
        <v>73</v>
      </c>
      <c r="D9" s="10" t="n">
        <v>4</v>
      </c>
      <c r="E9" s="12" t="n">
        <v>55</v>
      </c>
      <c r="F9" s="13" t="n">
        <f aca="false">D9*E9</f>
        <v>220</v>
      </c>
      <c r="G9" s="14" t="n">
        <v>650</v>
      </c>
      <c r="H9" s="14" t="n">
        <f aca="false">D9*G9</f>
        <v>2600</v>
      </c>
      <c r="I9" s="15"/>
      <c r="J9" s="11" t="s">
        <v>74</v>
      </c>
      <c r="K9" s="10" t="s">
        <v>54</v>
      </c>
      <c r="L9" s="11" t="s">
        <v>75</v>
      </c>
      <c r="M9" s="11" t="s">
        <v>76</v>
      </c>
    </row>
    <row r="10" customFormat="false" ht="15" hidden="false" customHeight="false" outlineLevel="0" collapsed="false">
      <c r="A10" s="10" t="n">
        <v>6</v>
      </c>
      <c r="B10" s="11" t="s">
        <v>77</v>
      </c>
      <c r="C10" s="11" t="s">
        <v>78</v>
      </c>
      <c r="D10" s="10" t="n">
        <v>4</v>
      </c>
      <c r="E10" s="12" t="n">
        <v>12</v>
      </c>
      <c r="F10" s="13" t="n">
        <f aca="false">D10*E10</f>
        <v>48</v>
      </c>
      <c r="G10" s="14" t="n">
        <v>120</v>
      </c>
      <c r="H10" s="14" t="n">
        <f aca="false">D10*G10</f>
        <v>480</v>
      </c>
      <c r="I10" s="15"/>
      <c r="J10" s="11" t="s">
        <v>79</v>
      </c>
      <c r="K10" s="10" t="s">
        <v>80</v>
      </c>
      <c r="L10" s="11" t="s">
        <v>81</v>
      </c>
      <c r="M10" s="11" t="s">
        <v>82</v>
      </c>
    </row>
    <row r="11" customFormat="false" ht="15" hidden="false" customHeight="false" outlineLevel="0" collapsed="false">
      <c r="A11" s="10" t="n">
        <v>7</v>
      </c>
      <c r="B11" s="11" t="s">
        <v>83</v>
      </c>
      <c r="C11" s="11" t="s">
        <v>84</v>
      </c>
      <c r="D11" s="10" t="n">
        <v>1</v>
      </c>
      <c r="E11" s="12" t="n">
        <v>85</v>
      </c>
      <c r="F11" s="13" t="n">
        <f aca="false">D11*E11</f>
        <v>85</v>
      </c>
      <c r="G11" s="14" t="n">
        <v>700</v>
      </c>
      <c r="H11" s="14" t="n">
        <f aca="false">D11*G11</f>
        <v>700</v>
      </c>
      <c r="I11" s="15"/>
      <c r="J11" s="11" t="s">
        <v>85</v>
      </c>
      <c r="K11" s="10" t="s">
        <v>86</v>
      </c>
      <c r="L11" s="11" t="s">
        <v>87</v>
      </c>
      <c r="M11" s="11" t="s">
        <v>88</v>
      </c>
    </row>
    <row r="12" customFormat="false" ht="23.85" hidden="false" customHeight="false" outlineLevel="0" collapsed="false">
      <c r="A12" s="10" t="n">
        <v>8</v>
      </c>
      <c r="B12" s="11" t="s">
        <v>89</v>
      </c>
      <c r="C12" s="11" t="s">
        <v>90</v>
      </c>
      <c r="D12" s="10" t="n">
        <v>1</v>
      </c>
      <c r="E12" s="12" t="n">
        <v>18</v>
      </c>
      <c r="F12" s="13" t="n">
        <f aca="false">D12*E12</f>
        <v>18</v>
      </c>
      <c r="G12" s="14" t="n">
        <v>450</v>
      </c>
      <c r="H12" s="14" t="n">
        <f aca="false">D12*G12</f>
        <v>450</v>
      </c>
      <c r="I12" s="15"/>
      <c r="J12" s="11" t="s">
        <v>91</v>
      </c>
      <c r="K12" s="10" t="s">
        <v>86</v>
      </c>
      <c r="L12" s="11" t="s">
        <v>92</v>
      </c>
      <c r="M12" s="11" t="s">
        <v>93</v>
      </c>
    </row>
    <row r="13" customFormat="false" ht="23.85" hidden="false" customHeight="false" outlineLevel="0" collapsed="false">
      <c r="A13" s="10" t="n">
        <v>9</v>
      </c>
      <c r="B13" s="11" t="s">
        <v>94</v>
      </c>
      <c r="C13" s="11" t="s">
        <v>95</v>
      </c>
      <c r="D13" s="10" t="n">
        <v>1</v>
      </c>
      <c r="E13" s="12" t="n">
        <v>140</v>
      </c>
      <c r="F13" s="13" t="n">
        <f aca="false">D13*E13</f>
        <v>140</v>
      </c>
      <c r="G13" s="14" t="n">
        <v>600</v>
      </c>
      <c r="H13" s="14" t="n">
        <f aca="false">D13*G13</f>
        <v>600</v>
      </c>
      <c r="I13" s="15"/>
      <c r="J13" s="11" t="s">
        <v>79</v>
      </c>
      <c r="K13" s="10" t="s">
        <v>86</v>
      </c>
      <c r="L13" s="11" t="s">
        <v>96</v>
      </c>
      <c r="M13" s="11" t="s">
        <v>97</v>
      </c>
    </row>
    <row r="14" customFormat="false" ht="23.85" hidden="false" customHeight="false" outlineLevel="0" collapsed="false">
      <c r="A14" s="10" t="n">
        <v>10</v>
      </c>
      <c r="B14" s="11" t="s">
        <v>98</v>
      </c>
      <c r="C14" s="11" t="s">
        <v>99</v>
      </c>
      <c r="D14" s="10" t="n">
        <v>1</v>
      </c>
      <c r="E14" s="12" t="n">
        <v>32</v>
      </c>
      <c r="F14" s="13" t="n">
        <f aca="false">D14*E14</f>
        <v>32</v>
      </c>
      <c r="G14" s="14" t="n">
        <v>450</v>
      </c>
      <c r="H14" s="14" t="n">
        <f aca="false">D14*G14</f>
        <v>450</v>
      </c>
      <c r="I14" s="15"/>
      <c r="J14" s="11" t="s">
        <v>100</v>
      </c>
      <c r="K14" s="10" t="s">
        <v>86</v>
      </c>
      <c r="L14" s="11" t="s">
        <v>101</v>
      </c>
      <c r="M14" s="11" t="s">
        <v>102</v>
      </c>
    </row>
    <row r="15" customFormat="false" ht="23.85" hidden="false" customHeight="false" outlineLevel="0" collapsed="false">
      <c r="A15" s="10" t="n">
        <v>11</v>
      </c>
      <c r="B15" s="11" t="s">
        <v>103</v>
      </c>
      <c r="C15" s="11" t="s">
        <v>104</v>
      </c>
      <c r="D15" s="10" t="n">
        <v>1</v>
      </c>
      <c r="E15" s="12" t="n">
        <v>110</v>
      </c>
      <c r="F15" s="13" t="n">
        <f aca="false">D15*E15</f>
        <v>110</v>
      </c>
      <c r="G15" s="14" t="n">
        <v>900</v>
      </c>
      <c r="H15" s="14" t="n">
        <f aca="false">D15*G15</f>
        <v>900</v>
      </c>
      <c r="I15" s="15"/>
      <c r="J15" s="11" t="s">
        <v>105</v>
      </c>
      <c r="K15" s="10" t="s">
        <v>86</v>
      </c>
      <c r="L15" s="11" t="s">
        <v>106</v>
      </c>
      <c r="M15" s="11" t="s">
        <v>107</v>
      </c>
    </row>
    <row r="16" customFormat="false" ht="15" hidden="false" customHeight="false" outlineLevel="0" collapsed="false">
      <c r="A16" s="10" t="n">
        <v>12</v>
      </c>
      <c r="B16" s="11" t="s">
        <v>108</v>
      </c>
      <c r="C16" s="11" t="s">
        <v>109</v>
      </c>
      <c r="D16" s="10" t="n">
        <v>1</v>
      </c>
      <c r="E16" s="12" t="n">
        <v>60</v>
      </c>
      <c r="F16" s="13" t="n">
        <f aca="false">D16*E16</f>
        <v>60</v>
      </c>
      <c r="G16" s="14" t="n">
        <v>350</v>
      </c>
      <c r="H16" s="14" t="n">
        <f aca="false">D16*G16</f>
        <v>350</v>
      </c>
      <c r="I16" s="15"/>
      <c r="J16" s="11" t="s">
        <v>105</v>
      </c>
      <c r="K16" s="10" t="s">
        <v>86</v>
      </c>
      <c r="L16" s="11" t="s">
        <v>110</v>
      </c>
      <c r="M16" s="11" t="s">
        <v>111</v>
      </c>
    </row>
    <row r="17" customFormat="false" ht="23.85" hidden="false" customHeight="false" outlineLevel="0" collapsed="false">
      <c r="A17" s="10" t="n">
        <v>13</v>
      </c>
      <c r="B17" s="11" t="s">
        <v>112</v>
      </c>
      <c r="C17" s="11" t="s">
        <v>113</v>
      </c>
      <c r="D17" s="10" t="n">
        <v>1</v>
      </c>
      <c r="E17" s="12" t="n">
        <v>35</v>
      </c>
      <c r="F17" s="13" t="n">
        <f aca="false">D17*E17</f>
        <v>35</v>
      </c>
      <c r="G17" s="14" t="n">
        <v>300</v>
      </c>
      <c r="H17" s="14" t="n">
        <f aca="false">D17*G17</f>
        <v>300</v>
      </c>
      <c r="I17" s="15"/>
      <c r="J17" s="11" t="s">
        <v>105</v>
      </c>
      <c r="K17" s="10" t="s">
        <v>86</v>
      </c>
      <c r="L17" s="11" t="s">
        <v>114</v>
      </c>
      <c r="M17" s="11" t="s">
        <v>80</v>
      </c>
    </row>
    <row r="18" customFormat="false" ht="15" hidden="false" customHeight="false" outlineLevel="0" collapsed="false">
      <c r="A18" s="8" t="s">
        <v>115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46.25" hidden="false" customHeight="false" outlineLevel="0" collapsed="false">
      <c r="A19" s="10" t="n">
        <v>14</v>
      </c>
      <c r="B19" s="11" t="s">
        <v>116</v>
      </c>
      <c r="C19" s="11" t="s">
        <v>117</v>
      </c>
      <c r="D19" s="10" t="n">
        <v>4</v>
      </c>
      <c r="E19" s="12" t="n">
        <v>135</v>
      </c>
      <c r="F19" s="13" t="n">
        <f aca="false">D19*E19</f>
        <v>540</v>
      </c>
      <c r="G19" s="14" t="n">
        <v>9500</v>
      </c>
      <c r="H19" s="14" t="n">
        <f aca="false">D19*G19</f>
        <v>38000</v>
      </c>
      <c r="I19" s="15"/>
      <c r="J19" s="11" t="s">
        <v>118</v>
      </c>
      <c r="K19" s="10" t="s">
        <v>119</v>
      </c>
      <c r="L19" s="11" t="s">
        <v>120</v>
      </c>
      <c r="M19" s="11" t="s">
        <v>121</v>
      </c>
    </row>
    <row r="20" customFormat="false" ht="23.85" hidden="false" customHeight="false" outlineLevel="0" collapsed="false">
      <c r="A20" s="10" t="n">
        <v>15</v>
      </c>
      <c r="B20" s="11" t="s">
        <v>122</v>
      </c>
      <c r="C20" s="11" t="s">
        <v>123</v>
      </c>
      <c r="D20" s="10" t="n">
        <v>4</v>
      </c>
      <c r="E20" s="12" t="n">
        <v>45</v>
      </c>
      <c r="F20" s="13" t="n">
        <f aca="false">D20*E20</f>
        <v>180</v>
      </c>
      <c r="G20" s="14" t="n">
        <v>3500</v>
      </c>
      <c r="H20" s="14" t="n">
        <f aca="false">D20*G20</f>
        <v>14000</v>
      </c>
      <c r="I20" s="15"/>
      <c r="J20" s="11" t="s">
        <v>124</v>
      </c>
      <c r="K20" s="10" t="s">
        <v>125</v>
      </c>
      <c r="L20" s="11" t="s">
        <v>126</v>
      </c>
      <c r="M20" s="11" t="s">
        <v>127</v>
      </c>
    </row>
    <row r="21" customFormat="false" ht="23.85" hidden="false" customHeight="false" outlineLevel="0" collapsed="false">
      <c r="A21" s="10" t="n">
        <v>16</v>
      </c>
      <c r="B21" s="11" t="s">
        <v>128</v>
      </c>
      <c r="C21" s="11" t="s">
        <v>129</v>
      </c>
      <c r="D21" s="10" t="n">
        <v>2</v>
      </c>
      <c r="E21" s="12" t="n">
        <v>116</v>
      </c>
      <c r="F21" s="13" t="n">
        <f aca="false">D21*E21</f>
        <v>232</v>
      </c>
      <c r="G21" s="14" t="n">
        <v>2800</v>
      </c>
      <c r="H21" s="14" t="n">
        <f aca="false">D21*G21</f>
        <v>5600</v>
      </c>
      <c r="I21" s="15"/>
      <c r="J21" s="11" t="s">
        <v>130</v>
      </c>
      <c r="K21" s="10" t="s">
        <v>131</v>
      </c>
      <c r="L21" s="11" t="s">
        <v>132</v>
      </c>
      <c r="M21" s="11" t="s">
        <v>133</v>
      </c>
    </row>
    <row r="22" customFormat="false" ht="23.85" hidden="false" customHeight="false" outlineLevel="0" collapsed="false">
      <c r="A22" s="10" t="n">
        <v>17</v>
      </c>
      <c r="B22" s="11" t="s">
        <v>134</v>
      </c>
      <c r="C22" s="11" t="s">
        <v>135</v>
      </c>
      <c r="D22" s="10" t="n">
        <v>4</v>
      </c>
      <c r="E22" s="12" t="n">
        <v>14</v>
      </c>
      <c r="F22" s="13" t="n">
        <f aca="false">D22*E22</f>
        <v>56</v>
      </c>
      <c r="G22" s="14" t="n">
        <v>650</v>
      </c>
      <c r="H22" s="14" t="n">
        <f aca="false">D22*G22</f>
        <v>2600</v>
      </c>
      <c r="I22" s="15"/>
      <c r="J22" s="11" t="s">
        <v>130</v>
      </c>
      <c r="K22" s="10" t="s">
        <v>131</v>
      </c>
      <c r="L22" s="11" t="s">
        <v>136</v>
      </c>
      <c r="M22" s="11" t="s">
        <v>137</v>
      </c>
    </row>
    <row r="23" customFormat="false" ht="15" hidden="false" customHeight="false" outlineLevel="0" collapsed="false">
      <c r="A23" s="8" t="s">
        <v>138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35.05" hidden="false" customHeight="false" outlineLevel="0" collapsed="false">
      <c r="A24" s="10" t="n">
        <v>18</v>
      </c>
      <c r="B24" s="11" t="s">
        <v>139</v>
      </c>
      <c r="C24" s="11" t="s">
        <v>140</v>
      </c>
      <c r="D24" s="10" t="n">
        <v>18</v>
      </c>
      <c r="E24" s="12" t="n">
        <v>70</v>
      </c>
      <c r="F24" s="13" t="n">
        <f aca="false">D24*E24</f>
        <v>1260</v>
      </c>
      <c r="G24" s="14" t="n">
        <v>750</v>
      </c>
      <c r="H24" s="14" t="n">
        <f aca="false">D24*G24</f>
        <v>13500</v>
      </c>
      <c r="I24" s="15"/>
      <c r="J24" s="11" t="s">
        <v>141</v>
      </c>
      <c r="K24" s="10" t="s">
        <v>125</v>
      </c>
      <c r="L24" s="11" t="s">
        <v>142</v>
      </c>
      <c r="M24" s="11" t="s">
        <v>143</v>
      </c>
    </row>
    <row r="25" customFormat="false" ht="23.85" hidden="false" customHeight="false" outlineLevel="0" collapsed="false">
      <c r="A25" s="10" t="n">
        <v>19</v>
      </c>
      <c r="B25" s="11" t="s">
        <v>144</v>
      </c>
      <c r="C25" s="11" t="s">
        <v>145</v>
      </c>
      <c r="D25" s="10" t="n">
        <v>1</v>
      </c>
      <c r="E25" s="12" t="n">
        <v>120</v>
      </c>
      <c r="F25" s="13" t="n">
        <f aca="false">D25*E25</f>
        <v>120</v>
      </c>
      <c r="G25" s="14" t="n">
        <v>1400</v>
      </c>
      <c r="H25" s="14" t="n">
        <f aca="false">D25*G25</f>
        <v>1400</v>
      </c>
      <c r="I25" s="15"/>
      <c r="J25" s="11" t="s">
        <v>146</v>
      </c>
      <c r="K25" s="10" t="s">
        <v>54</v>
      </c>
      <c r="L25" s="11" t="s">
        <v>147</v>
      </c>
      <c r="M25" s="11" t="s">
        <v>148</v>
      </c>
    </row>
    <row r="26" customFormat="false" ht="23.85" hidden="false" customHeight="false" outlineLevel="0" collapsed="false">
      <c r="A26" s="10" t="n">
        <v>20</v>
      </c>
      <c r="B26" s="11" t="s">
        <v>149</v>
      </c>
      <c r="C26" s="11" t="s">
        <v>150</v>
      </c>
      <c r="D26" s="10" t="n">
        <v>1</v>
      </c>
      <c r="E26" s="12" t="n">
        <v>45</v>
      </c>
      <c r="F26" s="13" t="n">
        <f aca="false">D26*E26</f>
        <v>45</v>
      </c>
      <c r="G26" s="14" t="n">
        <v>1800</v>
      </c>
      <c r="H26" s="14" t="n">
        <f aca="false">D26*G26</f>
        <v>1800</v>
      </c>
      <c r="I26" s="15"/>
      <c r="J26" s="11" t="s">
        <v>151</v>
      </c>
      <c r="K26" s="10" t="s">
        <v>54</v>
      </c>
      <c r="L26" s="11" t="s">
        <v>152</v>
      </c>
      <c r="M26" s="11" t="s">
        <v>153</v>
      </c>
    </row>
    <row r="27" customFormat="false" ht="15" hidden="false" customHeight="false" outlineLevel="0" collapsed="false">
      <c r="A27" s="10" t="n">
        <v>21</v>
      </c>
      <c r="B27" s="11" t="s">
        <v>154</v>
      </c>
      <c r="C27" s="11" t="s">
        <v>155</v>
      </c>
      <c r="D27" s="10" t="n">
        <v>1</v>
      </c>
      <c r="E27" s="12" t="n">
        <v>95</v>
      </c>
      <c r="F27" s="13" t="n">
        <f aca="false">D27*E27</f>
        <v>95</v>
      </c>
      <c r="G27" s="14" t="n">
        <v>800</v>
      </c>
      <c r="H27" s="14" t="n">
        <f aca="false">D27*G27</f>
        <v>800</v>
      </c>
      <c r="I27" s="15"/>
      <c r="J27" s="11" t="s">
        <v>156</v>
      </c>
      <c r="K27" s="10" t="s">
        <v>86</v>
      </c>
      <c r="L27" s="11" t="s">
        <v>157</v>
      </c>
      <c r="M27" s="11" t="s">
        <v>80</v>
      </c>
    </row>
    <row r="28" customFormat="false" ht="23.85" hidden="false" customHeight="false" outlineLevel="0" collapsed="false">
      <c r="A28" s="10" t="n">
        <v>22</v>
      </c>
      <c r="B28" s="11" t="s">
        <v>158</v>
      </c>
      <c r="C28" s="11" t="s">
        <v>159</v>
      </c>
      <c r="D28" s="10" t="n">
        <v>2</v>
      </c>
      <c r="E28" s="12" t="n">
        <v>22</v>
      </c>
      <c r="F28" s="13" t="n">
        <f aca="false">D28*E28</f>
        <v>44</v>
      </c>
      <c r="G28" s="14" t="n">
        <v>350</v>
      </c>
      <c r="H28" s="14" t="n">
        <f aca="false">D28*G28</f>
        <v>700</v>
      </c>
      <c r="I28" s="15"/>
      <c r="J28" s="11" t="s">
        <v>160</v>
      </c>
      <c r="K28" s="10" t="s">
        <v>86</v>
      </c>
      <c r="L28" s="11" t="s">
        <v>161</v>
      </c>
      <c r="M28" s="11" t="s">
        <v>162</v>
      </c>
    </row>
    <row r="29" customFormat="false" ht="23.85" hidden="false" customHeight="false" outlineLevel="0" collapsed="false">
      <c r="A29" s="10" t="n">
        <v>23</v>
      </c>
      <c r="B29" s="11" t="s">
        <v>163</v>
      </c>
      <c r="C29" s="11" t="s">
        <v>164</v>
      </c>
      <c r="D29" s="10" t="n">
        <v>1</v>
      </c>
      <c r="E29" s="12" t="n">
        <v>55</v>
      </c>
      <c r="F29" s="13" t="n">
        <f aca="false">D29*E29</f>
        <v>55</v>
      </c>
      <c r="G29" s="14" t="n">
        <v>2200</v>
      </c>
      <c r="H29" s="14" t="n">
        <f aca="false">D29*G29</f>
        <v>2200</v>
      </c>
      <c r="I29" s="15"/>
      <c r="J29" s="11" t="s">
        <v>165</v>
      </c>
      <c r="K29" s="10" t="s">
        <v>54</v>
      </c>
      <c r="L29" s="11" t="s">
        <v>166</v>
      </c>
      <c r="M29" s="11" t="s">
        <v>167</v>
      </c>
    </row>
    <row r="30" customFormat="false" ht="23.85" hidden="false" customHeight="false" outlineLevel="0" collapsed="false">
      <c r="A30" s="10" t="n">
        <v>24</v>
      </c>
      <c r="B30" s="11" t="s">
        <v>168</v>
      </c>
      <c r="C30" s="11" t="s">
        <v>169</v>
      </c>
      <c r="D30" s="10" t="n">
        <v>1</v>
      </c>
      <c r="E30" s="12" t="n">
        <v>42</v>
      </c>
      <c r="F30" s="13" t="n">
        <f aca="false">D30*E30</f>
        <v>42</v>
      </c>
      <c r="G30" s="14" t="n">
        <v>3200</v>
      </c>
      <c r="H30" s="14" t="n">
        <f aca="false">D30*G30</f>
        <v>3200</v>
      </c>
      <c r="I30" s="15"/>
      <c r="J30" s="11" t="s">
        <v>170</v>
      </c>
      <c r="K30" s="10" t="s">
        <v>171</v>
      </c>
      <c r="L30" s="11" t="s">
        <v>172</v>
      </c>
      <c r="M30" s="11" t="s">
        <v>173</v>
      </c>
    </row>
    <row r="31" customFormat="false" ht="23.85" hidden="false" customHeight="false" outlineLevel="0" collapsed="false">
      <c r="A31" s="10" t="n">
        <v>25</v>
      </c>
      <c r="B31" s="11" t="s">
        <v>174</v>
      </c>
      <c r="C31" s="11" t="s">
        <v>175</v>
      </c>
      <c r="D31" s="10" t="n">
        <v>1</v>
      </c>
      <c r="E31" s="12" t="n">
        <v>28</v>
      </c>
      <c r="F31" s="13" t="n">
        <f aca="false">D31*E31</f>
        <v>28</v>
      </c>
      <c r="G31" s="14" t="n">
        <v>900</v>
      </c>
      <c r="H31" s="14" t="n">
        <f aca="false">D31*G31</f>
        <v>900</v>
      </c>
      <c r="I31" s="15"/>
      <c r="J31" s="11" t="s">
        <v>176</v>
      </c>
      <c r="K31" s="10" t="s">
        <v>86</v>
      </c>
      <c r="L31" s="11" t="s">
        <v>177</v>
      </c>
      <c r="M31" s="11" t="s">
        <v>178</v>
      </c>
    </row>
    <row r="32" customFormat="false" ht="23.85" hidden="false" customHeight="false" outlineLevel="0" collapsed="false">
      <c r="A32" s="10" t="n">
        <v>26</v>
      </c>
      <c r="B32" s="11" t="s">
        <v>179</v>
      </c>
      <c r="C32" s="11" t="s">
        <v>180</v>
      </c>
      <c r="D32" s="10" t="n">
        <v>1</v>
      </c>
      <c r="E32" s="12" t="n">
        <v>34</v>
      </c>
      <c r="F32" s="13" t="n">
        <f aca="false">D32*E32</f>
        <v>34</v>
      </c>
      <c r="G32" s="14" t="n">
        <v>1100</v>
      </c>
      <c r="H32" s="14" t="n">
        <f aca="false">D32*G32</f>
        <v>1100</v>
      </c>
      <c r="I32" s="15"/>
      <c r="J32" s="11" t="s">
        <v>176</v>
      </c>
      <c r="K32" s="10" t="s">
        <v>86</v>
      </c>
      <c r="L32" s="11" t="s">
        <v>181</v>
      </c>
      <c r="M32" s="11" t="s">
        <v>182</v>
      </c>
    </row>
    <row r="33" customFormat="false" ht="15" hidden="false" customHeight="false" outlineLevel="0" collapsed="false">
      <c r="A33" s="10" t="n">
        <v>27</v>
      </c>
      <c r="B33" s="11" t="s">
        <v>183</v>
      </c>
      <c r="C33" s="11" t="s">
        <v>184</v>
      </c>
      <c r="D33" s="10" t="n">
        <v>1</v>
      </c>
      <c r="E33" s="12" t="n">
        <v>110</v>
      </c>
      <c r="F33" s="13" t="n">
        <f aca="false">D33*E33</f>
        <v>110</v>
      </c>
      <c r="G33" s="14" t="n">
        <v>600</v>
      </c>
      <c r="H33" s="14" t="n">
        <f aca="false">D33*G33</f>
        <v>600</v>
      </c>
      <c r="I33" s="15"/>
      <c r="J33" s="11" t="s">
        <v>156</v>
      </c>
      <c r="K33" s="10" t="s">
        <v>86</v>
      </c>
      <c r="L33" s="11" t="s">
        <v>185</v>
      </c>
      <c r="M33" s="11" t="s">
        <v>186</v>
      </c>
    </row>
    <row r="34" customFormat="false" ht="15" hidden="false" customHeight="false" outlineLevel="0" collapsed="false">
      <c r="A34" s="10" t="n">
        <v>28</v>
      </c>
      <c r="B34" s="11" t="s">
        <v>187</v>
      </c>
      <c r="C34" s="11" t="s">
        <v>188</v>
      </c>
      <c r="D34" s="10" t="n">
        <v>1</v>
      </c>
      <c r="E34" s="12" t="n">
        <v>95</v>
      </c>
      <c r="F34" s="13" t="n">
        <f aca="false">D34*E34</f>
        <v>95</v>
      </c>
      <c r="G34" s="14" t="n">
        <v>500</v>
      </c>
      <c r="H34" s="14" t="n">
        <f aca="false">D34*G34</f>
        <v>500</v>
      </c>
      <c r="I34" s="15"/>
      <c r="J34" s="11" t="s">
        <v>156</v>
      </c>
      <c r="K34" s="10" t="s">
        <v>86</v>
      </c>
      <c r="L34" s="11" t="s">
        <v>189</v>
      </c>
      <c r="M34" s="11" t="s">
        <v>190</v>
      </c>
    </row>
    <row r="35" customFormat="false" ht="23.85" hidden="false" customHeight="false" outlineLevel="0" collapsed="false">
      <c r="A35" s="10" t="n">
        <v>29</v>
      </c>
      <c r="B35" s="11" t="s">
        <v>191</v>
      </c>
      <c r="C35" s="11" t="s">
        <v>192</v>
      </c>
      <c r="D35" s="10" t="n">
        <v>1</v>
      </c>
      <c r="E35" s="12" t="n">
        <v>80</v>
      </c>
      <c r="F35" s="13" t="n">
        <f aca="false">D35*E35</f>
        <v>80</v>
      </c>
      <c r="G35" s="14" t="n">
        <v>1200</v>
      </c>
      <c r="H35" s="14" t="n">
        <f aca="false">D35*G35</f>
        <v>1200</v>
      </c>
      <c r="I35" s="15"/>
      <c r="J35" s="11" t="s">
        <v>193</v>
      </c>
      <c r="K35" s="10" t="s">
        <v>86</v>
      </c>
      <c r="L35" s="11" t="s">
        <v>194</v>
      </c>
      <c r="M35" s="11" t="s">
        <v>80</v>
      </c>
    </row>
    <row r="36" customFormat="false" ht="15" hidden="false" customHeight="false" outlineLevel="0" collapsed="false">
      <c r="A36" s="10" t="n">
        <v>30</v>
      </c>
      <c r="B36" s="11" t="s">
        <v>195</v>
      </c>
      <c r="C36" s="11" t="s">
        <v>196</v>
      </c>
      <c r="D36" s="10" t="n">
        <v>1</v>
      </c>
      <c r="E36" s="12" t="n">
        <v>10</v>
      </c>
      <c r="F36" s="13" t="n">
        <f aca="false">D36*E36</f>
        <v>10</v>
      </c>
      <c r="G36" s="14" t="n">
        <v>200</v>
      </c>
      <c r="H36" s="14" t="n">
        <f aca="false">D36*G36</f>
        <v>200</v>
      </c>
      <c r="I36" s="15"/>
      <c r="J36" s="11" t="s">
        <v>151</v>
      </c>
      <c r="K36" s="10" t="s">
        <v>86</v>
      </c>
      <c r="L36" s="11" t="s">
        <v>197</v>
      </c>
      <c r="M36" s="11" t="s">
        <v>80</v>
      </c>
    </row>
    <row r="37" customFormat="false" ht="15" hidden="false" customHeight="false" outlineLevel="0" collapsed="false">
      <c r="A37" s="8" t="s">
        <v>198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customFormat="false" ht="35.05" hidden="false" customHeight="false" outlineLevel="0" collapsed="false">
      <c r="A38" s="10" t="n">
        <v>31</v>
      </c>
      <c r="B38" s="11" t="s">
        <v>199</v>
      </c>
      <c r="C38" s="11" t="s">
        <v>200</v>
      </c>
      <c r="D38" s="10" t="n">
        <v>1</v>
      </c>
      <c r="E38" s="12" t="n">
        <v>45</v>
      </c>
      <c r="F38" s="13" t="n">
        <f aca="false">D38*E38</f>
        <v>45</v>
      </c>
      <c r="G38" s="14" t="n">
        <v>28000</v>
      </c>
      <c r="H38" s="14" t="n">
        <f aca="false">D38*G38</f>
        <v>28000</v>
      </c>
      <c r="I38" s="15"/>
      <c r="J38" s="11" t="s">
        <v>201</v>
      </c>
      <c r="K38" s="10" t="s">
        <v>125</v>
      </c>
      <c r="L38" s="11" t="s">
        <v>202</v>
      </c>
      <c r="M38" s="11" t="s">
        <v>203</v>
      </c>
    </row>
    <row r="39" customFormat="false" ht="35.05" hidden="false" customHeight="false" outlineLevel="0" collapsed="false">
      <c r="A39" s="10" t="n">
        <v>32</v>
      </c>
      <c r="B39" s="11" t="s">
        <v>204</v>
      </c>
      <c r="C39" s="11" t="s">
        <v>205</v>
      </c>
      <c r="D39" s="10" t="n">
        <v>1</v>
      </c>
      <c r="E39" s="12" t="n">
        <v>55</v>
      </c>
      <c r="F39" s="13" t="n">
        <f aca="false">D39*E39</f>
        <v>55</v>
      </c>
      <c r="G39" s="14" t="n">
        <v>32000</v>
      </c>
      <c r="H39" s="14" t="n">
        <f aca="false">D39*G39</f>
        <v>32000</v>
      </c>
      <c r="I39" s="15"/>
      <c r="J39" s="11" t="s">
        <v>206</v>
      </c>
      <c r="K39" s="10" t="s">
        <v>131</v>
      </c>
      <c r="L39" s="11" t="s">
        <v>207</v>
      </c>
      <c r="M39" s="11" t="s">
        <v>208</v>
      </c>
    </row>
    <row r="40" customFormat="false" ht="35.05" hidden="false" customHeight="false" outlineLevel="0" collapsed="false">
      <c r="A40" s="10" t="n">
        <v>33</v>
      </c>
      <c r="B40" s="11" t="s">
        <v>209</v>
      </c>
      <c r="C40" s="11" t="s">
        <v>210</v>
      </c>
      <c r="D40" s="10" t="n">
        <v>1</v>
      </c>
      <c r="E40" s="12" t="n">
        <v>50</v>
      </c>
      <c r="F40" s="13" t="n">
        <f aca="false">D40*E40</f>
        <v>50</v>
      </c>
      <c r="G40" s="14" t="n">
        <v>30000</v>
      </c>
      <c r="H40" s="14" t="n">
        <f aca="false">D40*G40</f>
        <v>30000</v>
      </c>
      <c r="I40" s="15"/>
      <c r="J40" s="11" t="s">
        <v>211</v>
      </c>
      <c r="K40" s="10" t="s">
        <v>131</v>
      </c>
      <c r="L40" s="11" t="s">
        <v>212</v>
      </c>
      <c r="M40" s="11" t="s">
        <v>213</v>
      </c>
    </row>
    <row r="41" customFormat="false" ht="23.85" hidden="false" customHeight="false" outlineLevel="0" collapsed="false">
      <c r="A41" s="10" t="n">
        <v>34</v>
      </c>
      <c r="B41" s="11" t="s">
        <v>214</v>
      </c>
      <c r="C41" s="11" t="s">
        <v>215</v>
      </c>
      <c r="D41" s="10" t="n">
        <v>2</v>
      </c>
      <c r="E41" s="12" t="n">
        <v>35</v>
      </c>
      <c r="F41" s="13" t="n">
        <f aca="false">D41*E41</f>
        <v>70</v>
      </c>
      <c r="G41" s="14" t="n">
        <v>4500</v>
      </c>
      <c r="H41" s="14" t="n">
        <f aca="false">D41*G41</f>
        <v>9000</v>
      </c>
      <c r="I41" s="15"/>
      <c r="J41" s="11" t="s">
        <v>216</v>
      </c>
      <c r="K41" s="10" t="s">
        <v>131</v>
      </c>
      <c r="L41" s="11" t="s">
        <v>217</v>
      </c>
      <c r="M41" s="11" t="s">
        <v>80</v>
      </c>
    </row>
    <row r="42" customFormat="false" ht="35.05" hidden="false" customHeight="false" outlineLevel="0" collapsed="false">
      <c r="A42" s="10" t="n">
        <v>35</v>
      </c>
      <c r="B42" s="11" t="s">
        <v>218</v>
      </c>
      <c r="C42" s="11" t="s">
        <v>219</v>
      </c>
      <c r="D42" s="10" t="n">
        <v>1</v>
      </c>
      <c r="E42" s="12" t="n">
        <v>12</v>
      </c>
      <c r="F42" s="13" t="n">
        <f aca="false">D42*E42</f>
        <v>12</v>
      </c>
      <c r="G42" s="14" t="n">
        <v>2500</v>
      </c>
      <c r="H42" s="14" t="n">
        <f aca="false">D42*G42</f>
        <v>2500</v>
      </c>
      <c r="I42" s="15"/>
      <c r="J42" s="11" t="s">
        <v>151</v>
      </c>
      <c r="K42" s="10" t="s">
        <v>86</v>
      </c>
      <c r="L42" s="11" t="s">
        <v>220</v>
      </c>
      <c r="M42" s="11" t="s">
        <v>221</v>
      </c>
    </row>
    <row r="43" customFormat="false" ht="23.85" hidden="false" customHeight="false" outlineLevel="0" collapsed="false">
      <c r="A43" s="10" t="n">
        <v>36</v>
      </c>
      <c r="B43" s="11" t="s">
        <v>222</v>
      </c>
      <c r="C43" s="11" t="s">
        <v>223</v>
      </c>
      <c r="D43" s="10" t="n">
        <v>1</v>
      </c>
      <c r="E43" s="12" t="n">
        <v>18</v>
      </c>
      <c r="F43" s="13" t="n">
        <f aca="false">D43*E43</f>
        <v>18</v>
      </c>
      <c r="G43" s="14" t="n">
        <v>900</v>
      </c>
      <c r="H43" s="14" t="n">
        <f aca="false">D43*G43</f>
        <v>900</v>
      </c>
      <c r="I43" s="15"/>
      <c r="J43" s="11" t="s">
        <v>224</v>
      </c>
      <c r="K43" s="10" t="s">
        <v>54</v>
      </c>
      <c r="L43" s="11" t="s">
        <v>225</v>
      </c>
      <c r="M43" s="11" t="s">
        <v>80</v>
      </c>
    </row>
    <row r="44" customFormat="false" ht="23.85" hidden="false" customHeight="false" outlineLevel="0" collapsed="false">
      <c r="A44" s="10" t="n">
        <v>37</v>
      </c>
      <c r="B44" s="11" t="s">
        <v>226</v>
      </c>
      <c r="C44" s="11" t="s">
        <v>227</v>
      </c>
      <c r="D44" s="10" t="n">
        <v>2</v>
      </c>
      <c r="E44" s="12" t="n">
        <v>2</v>
      </c>
      <c r="F44" s="13" t="n">
        <f aca="false">D44*E44</f>
        <v>4</v>
      </c>
      <c r="G44" s="14" t="n">
        <v>900</v>
      </c>
      <c r="H44" s="14" t="n">
        <f aca="false">D44*G44</f>
        <v>1800</v>
      </c>
      <c r="I44" s="15"/>
      <c r="J44" s="11" t="s">
        <v>228</v>
      </c>
      <c r="K44" s="10" t="s">
        <v>86</v>
      </c>
      <c r="L44" s="11" t="s">
        <v>229</v>
      </c>
      <c r="M44" s="11" t="s">
        <v>80</v>
      </c>
    </row>
    <row r="45" customFormat="false" ht="15" hidden="false" customHeight="false" outlineLevel="0" collapsed="false">
      <c r="A45" s="8" t="s">
        <v>230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</row>
    <row r="46" customFormat="false" ht="35.05" hidden="false" customHeight="false" outlineLevel="0" collapsed="false">
      <c r="A46" s="10" t="n">
        <v>38</v>
      </c>
      <c r="B46" s="11" t="s">
        <v>231</v>
      </c>
      <c r="C46" s="11" t="s">
        <v>232</v>
      </c>
      <c r="D46" s="10" t="n">
        <v>1</v>
      </c>
      <c r="E46" s="12" t="n">
        <v>185</v>
      </c>
      <c r="F46" s="13" t="n">
        <f aca="false">D46*E46</f>
        <v>185</v>
      </c>
      <c r="G46" s="14" t="n">
        <v>52000</v>
      </c>
      <c r="H46" s="14" t="n">
        <f aca="false">D46*G46</f>
        <v>52000</v>
      </c>
      <c r="I46" s="15"/>
      <c r="J46" s="11" t="s">
        <v>233</v>
      </c>
      <c r="K46" s="10" t="s">
        <v>234</v>
      </c>
      <c r="L46" s="11" t="s">
        <v>235</v>
      </c>
      <c r="M46" s="11" t="s">
        <v>236</v>
      </c>
    </row>
    <row r="47" customFormat="false" ht="23.85" hidden="false" customHeight="false" outlineLevel="0" collapsed="false">
      <c r="A47" s="10" t="n">
        <v>39</v>
      </c>
      <c r="B47" s="11" t="s">
        <v>237</v>
      </c>
      <c r="C47" s="11" t="s">
        <v>238</v>
      </c>
      <c r="D47" s="10" t="n">
        <v>1</v>
      </c>
      <c r="E47" s="12" t="n">
        <v>10</v>
      </c>
      <c r="F47" s="13" t="n">
        <f aca="false">D47*E47</f>
        <v>10</v>
      </c>
      <c r="G47" s="14" t="n">
        <v>3000</v>
      </c>
      <c r="H47" s="14" t="n">
        <f aca="false">D47*G47</f>
        <v>3000</v>
      </c>
      <c r="I47" s="15"/>
      <c r="J47" s="11" t="s">
        <v>151</v>
      </c>
      <c r="K47" s="10" t="s">
        <v>86</v>
      </c>
      <c r="L47" s="11" t="s">
        <v>239</v>
      </c>
      <c r="M47" s="11" t="s">
        <v>240</v>
      </c>
    </row>
    <row r="48" customFormat="false" ht="35.05" hidden="false" customHeight="false" outlineLevel="0" collapsed="false">
      <c r="A48" s="10" t="n">
        <v>40</v>
      </c>
      <c r="B48" s="11" t="s">
        <v>241</v>
      </c>
      <c r="C48" s="11" t="s">
        <v>242</v>
      </c>
      <c r="D48" s="10" t="n">
        <v>1</v>
      </c>
      <c r="E48" s="12" t="n">
        <v>75</v>
      </c>
      <c r="F48" s="13" t="n">
        <f aca="false">D48*E48</f>
        <v>75</v>
      </c>
      <c r="G48" s="14" t="n">
        <v>9000</v>
      </c>
      <c r="H48" s="14" t="n">
        <f aca="false">D48*G48</f>
        <v>9000</v>
      </c>
      <c r="I48" s="15"/>
      <c r="J48" s="11" t="s">
        <v>243</v>
      </c>
      <c r="K48" s="10" t="s">
        <v>171</v>
      </c>
      <c r="L48" s="11" t="s">
        <v>244</v>
      </c>
      <c r="M48" s="11" t="s">
        <v>245</v>
      </c>
    </row>
    <row r="49" customFormat="false" ht="23.85" hidden="false" customHeight="false" outlineLevel="0" collapsed="false">
      <c r="A49" s="10" t="n">
        <v>41</v>
      </c>
      <c r="B49" s="11" t="s">
        <v>246</v>
      </c>
      <c r="C49" s="11" t="s">
        <v>247</v>
      </c>
      <c r="D49" s="10" t="n">
        <v>1</v>
      </c>
      <c r="E49" s="12" t="n">
        <v>25</v>
      </c>
      <c r="F49" s="13" t="n">
        <f aca="false">D49*E49</f>
        <v>25</v>
      </c>
      <c r="G49" s="14" t="n">
        <v>2800</v>
      </c>
      <c r="H49" s="14" t="n">
        <f aca="false">D49*G49</f>
        <v>2800</v>
      </c>
      <c r="I49" s="15"/>
      <c r="J49" s="11" t="s">
        <v>248</v>
      </c>
      <c r="K49" s="10" t="s">
        <v>171</v>
      </c>
      <c r="L49" s="11" t="s">
        <v>249</v>
      </c>
      <c r="M49" s="11" t="s">
        <v>250</v>
      </c>
    </row>
    <row r="50" customFormat="false" ht="35.05" hidden="false" customHeight="false" outlineLevel="0" collapsed="false">
      <c r="A50" s="10" t="n">
        <v>42</v>
      </c>
      <c r="B50" s="11" t="s">
        <v>251</v>
      </c>
      <c r="C50" s="11" t="s">
        <v>252</v>
      </c>
      <c r="D50" s="10" t="n">
        <v>1</v>
      </c>
      <c r="E50" s="12" t="n">
        <v>45</v>
      </c>
      <c r="F50" s="13" t="n">
        <f aca="false">D50*E50</f>
        <v>45</v>
      </c>
      <c r="G50" s="14" t="n">
        <v>1500</v>
      </c>
      <c r="H50" s="14" t="n">
        <f aca="false">D50*G50</f>
        <v>1500</v>
      </c>
      <c r="I50" s="15"/>
      <c r="J50" s="11" t="s">
        <v>253</v>
      </c>
      <c r="K50" s="10" t="s">
        <v>86</v>
      </c>
      <c r="L50" s="11" t="s">
        <v>254</v>
      </c>
      <c r="M50" s="11" t="s">
        <v>255</v>
      </c>
    </row>
    <row r="51" customFormat="false" ht="23.85" hidden="false" customHeight="false" outlineLevel="0" collapsed="false">
      <c r="A51" s="10" t="n">
        <v>43</v>
      </c>
      <c r="B51" s="11" t="s">
        <v>256</v>
      </c>
      <c r="C51" s="11" t="s">
        <v>257</v>
      </c>
      <c r="D51" s="10" t="n">
        <v>2</v>
      </c>
      <c r="E51" s="12" t="n">
        <v>6</v>
      </c>
      <c r="F51" s="13" t="n">
        <f aca="false">D51*E51</f>
        <v>12</v>
      </c>
      <c r="G51" s="14" t="n">
        <v>600</v>
      </c>
      <c r="H51" s="14" t="n">
        <f aca="false">D51*G51</f>
        <v>1200</v>
      </c>
      <c r="I51" s="15"/>
      <c r="J51" s="11" t="s">
        <v>243</v>
      </c>
      <c r="K51" s="10" t="s">
        <v>54</v>
      </c>
      <c r="L51" s="11" t="s">
        <v>258</v>
      </c>
      <c r="M51" s="11" t="s">
        <v>80</v>
      </c>
    </row>
    <row r="52" customFormat="false" ht="15" hidden="false" customHeight="false" outlineLevel="0" collapsed="false">
      <c r="A52" s="10" t="n">
        <v>44</v>
      </c>
      <c r="B52" s="11" t="s">
        <v>259</v>
      </c>
      <c r="C52" s="11" t="s">
        <v>260</v>
      </c>
      <c r="D52" s="10" t="n">
        <v>1</v>
      </c>
      <c r="E52" s="12" t="n">
        <v>90</v>
      </c>
      <c r="F52" s="13" t="n">
        <f aca="false">D52*E52</f>
        <v>90</v>
      </c>
      <c r="G52" s="14" t="n">
        <v>2500</v>
      </c>
      <c r="H52" s="14" t="n">
        <f aca="false">D52*G52</f>
        <v>2500</v>
      </c>
      <c r="I52" s="15"/>
      <c r="J52" s="11" t="s">
        <v>261</v>
      </c>
      <c r="K52" s="10" t="s">
        <v>54</v>
      </c>
      <c r="L52" s="11" t="s">
        <v>262</v>
      </c>
      <c r="M52" s="11" t="s">
        <v>263</v>
      </c>
    </row>
    <row r="53" customFormat="false" ht="23.85" hidden="false" customHeight="false" outlineLevel="0" collapsed="false">
      <c r="A53" s="10" t="n">
        <v>45</v>
      </c>
      <c r="B53" s="11" t="s">
        <v>264</v>
      </c>
      <c r="C53" s="11" t="s">
        <v>265</v>
      </c>
      <c r="D53" s="10" t="n">
        <v>1</v>
      </c>
      <c r="E53" s="12" t="n">
        <v>8</v>
      </c>
      <c r="F53" s="13" t="n">
        <f aca="false">D53*E53</f>
        <v>8</v>
      </c>
      <c r="G53" s="14" t="n">
        <v>600</v>
      </c>
      <c r="H53" s="14" t="n">
        <f aca="false">D53*G53</f>
        <v>600</v>
      </c>
      <c r="I53" s="15"/>
      <c r="J53" s="11" t="s">
        <v>224</v>
      </c>
      <c r="K53" s="10" t="s">
        <v>54</v>
      </c>
      <c r="L53" s="11" t="s">
        <v>266</v>
      </c>
      <c r="M53" s="11" t="s">
        <v>267</v>
      </c>
    </row>
    <row r="54" customFormat="false" ht="15" hidden="false" customHeight="false" outlineLevel="0" collapsed="false">
      <c r="A54" s="8" t="s">
        <v>268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customFormat="false" ht="35.05" hidden="false" customHeight="false" outlineLevel="0" collapsed="false">
      <c r="A55" s="10" t="n">
        <v>46</v>
      </c>
      <c r="B55" s="11" t="s">
        <v>269</v>
      </c>
      <c r="C55" s="11" t="s">
        <v>270</v>
      </c>
      <c r="D55" s="10" t="n">
        <v>1</v>
      </c>
      <c r="E55" s="12" t="n">
        <v>25</v>
      </c>
      <c r="F55" s="13" t="n">
        <f aca="false">D55*E55</f>
        <v>25</v>
      </c>
      <c r="G55" s="14" t="n">
        <v>4500</v>
      </c>
      <c r="H55" s="14" t="n">
        <f aca="false">D55*G55</f>
        <v>4500</v>
      </c>
      <c r="I55" s="15"/>
      <c r="J55" s="11" t="s">
        <v>151</v>
      </c>
      <c r="K55" s="10" t="s">
        <v>271</v>
      </c>
      <c r="L55" s="11" t="s">
        <v>272</v>
      </c>
      <c r="M55" s="11" t="s">
        <v>273</v>
      </c>
    </row>
    <row r="56" customFormat="false" ht="23.85" hidden="false" customHeight="false" outlineLevel="0" collapsed="false">
      <c r="A56" s="10" t="n">
        <v>47</v>
      </c>
      <c r="B56" s="11" t="s">
        <v>274</v>
      </c>
      <c r="C56" s="11" t="s">
        <v>275</v>
      </c>
      <c r="D56" s="10" t="n">
        <v>2</v>
      </c>
      <c r="E56" s="12" t="n">
        <v>18</v>
      </c>
      <c r="F56" s="13" t="n">
        <f aca="false">D56*E56</f>
        <v>36</v>
      </c>
      <c r="G56" s="14" t="n">
        <v>900</v>
      </c>
      <c r="H56" s="14" t="n">
        <f aca="false">D56*G56</f>
        <v>1800</v>
      </c>
      <c r="I56" s="15"/>
      <c r="J56" s="11" t="s">
        <v>151</v>
      </c>
      <c r="K56" s="10" t="s">
        <v>86</v>
      </c>
      <c r="L56" s="11" t="s">
        <v>276</v>
      </c>
      <c r="M56" s="11" t="s">
        <v>277</v>
      </c>
    </row>
    <row r="57" customFormat="false" ht="15" hidden="false" customHeight="false" outlineLevel="0" collapsed="false">
      <c r="A57" s="10" t="n">
        <v>48</v>
      </c>
      <c r="B57" s="11" t="s">
        <v>278</v>
      </c>
      <c r="C57" s="11" t="s">
        <v>279</v>
      </c>
      <c r="D57" s="10" t="n">
        <v>2</v>
      </c>
      <c r="E57" s="12" t="n">
        <v>8</v>
      </c>
      <c r="F57" s="13" t="n">
        <f aca="false">D57*E57</f>
        <v>16</v>
      </c>
      <c r="G57" s="14" t="n">
        <v>350</v>
      </c>
      <c r="H57" s="14" t="n">
        <f aca="false">D57*G57</f>
        <v>700</v>
      </c>
      <c r="I57" s="15"/>
      <c r="J57" s="11" t="s">
        <v>151</v>
      </c>
      <c r="K57" s="10" t="s">
        <v>86</v>
      </c>
      <c r="L57" s="11" t="s">
        <v>280</v>
      </c>
      <c r="M57" s="11" t="s">
        <v>80</v>
      </c>
    </row>
    <row r="58" customFormat="false" ht="23.85" hidden="false" customHeight="false" outlineLevel="0" collapsed="false">
      <c r="A58" s="10" t="n">
        <v>49</v>
      </c>
      <c r="B58" s="11" t="s">
        <v>281</v>
      </c>
      <c r="C58" s="11" t="s">
        <v>282</v>
      </c>
      <c r="D58" s="10" t="n">
        <v>1</v>
      </c>
      <c r="E58" s="12" t="n">
        <v>25</v>
      </c>
      <c r="F58" s="13" t="n">
        <f aca="false">D58*E58</f>
        <v>25</v>
      </c>
      <c r="G58" s="14" t="n">
        <v>9500</v>
      </c>
      <c r="H58" s="14" t="n">
        <f aca="false">D58*G58</f>
        <v>9500</v>
      </c>
      <c r="I58" s="15"/>
      <c r="J58" s="11" t="s">
        <v>283</v>
      </c>
      <c r="K58" s="10" t="s">
        <v>171</v>
      </c>
      <c r="L58" s="11" t="s">
        <v>284</v>
      </c>
      <c r="M58" s="11" t="s">
        <v>285</v>
      </c>
    </row>
    <row r="59" customFormat="false" ht="15" hidden="false" customHeight="false" outlineLevel="0" collapsed="false">
      <c r="A59" s="10" t="n">
        <v>50</v>
      </c>
      <c r="B59" s="11" t="s">
        <v>286</v>
      </c>
      <c r="C59" s="11" t="s">
        <v>287</v>
      </c>
      <c r="D59" s="10" t="n">
        <v>1</v>
      </c>
      <c r="E59" s="12" t="n">
        <v>20</v>
      </c>
      <c r="F59" s="13" t="n">
        <f aca="false">D59*E59</f>
        <v>20</v>
      </c>
      <c r="G59" s="14" t="n">
        <v>700</v>
      </c>
      <c r="H59" s="14" t="n">
        <f aca="false">D59*G59</f>
        <v>700</v>
      </c>
      <c r="I59" s="15"/>
      <c r="J59" s="11" t="s">
        <v>288</v>
      </c>
      <c r="K59" s="10" t="s">
        <v>171</v>
      </c>
      <c r="L59" s="11" t="s">
        <v>289</v>
      </c>
      <c r="M59" s="11" t="s">
        <v>80</v>
      </c>
    </row>
    <row r="60" customFormat="false" ht="15" hidden="false" customHeight="false" outlineLevel="0" collapsed="false">
      <c r="A60" s="8" t="s">
        <v>290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customFormat="false" ht="23.85" hidden="false" customHeight="false" outlineLevel="0" collapsed="false">
      <c r="A61" s="10" t="n">
        <v>51</v>
      </c>
      <c r="B61" s="11" t="s">
        <v>291</v>
      </c>
      <c r="C61" s="11" t="s">
        <v>292</v>
      </c>
      <c r="D61" s="10" t="n">
        <v>4</v>
      </c>
      <c r="E61" s="12" t="n">
        <v>14</v>
      </c>
      <c r="F61" s="13" t="n">
        <f aca="false">D61*E61</f>
        <v>56</v>
      </c>
      <c r="G61" s="14" t="n">
        <v>900</v>
      </c>
      <c r="H61" s="14" t="n">
        <f aca="false">D61*G61</f>
        <v>3600</v>
      </c>
      <c r="I61" s="15"/>
      <c r="J61" s="11" t="s">
        <v>151</v>
      </c>
      <c r="K61" s="10" t="s">
        <v>86</v>
      </c>
      <c r="L61" s="11" t="s">
        <v>293</v>
      </c>
      <c r="M61" s="11" t="s">
        <v>294</v>
      </c>
    </row>
    <row r="62" customFormat="false" ht="23.85" hidden="false" customHeight="false" outlineLevel="0" collapsed="false">
      <c r="A62" s="10" t="n">
        <v>52</v>
      </c>
      <c r="B62" s="11" t="s">
        <v>295</v>
      </c>
      <c r="C62" s="11" t="s">
        <v>296</v>
      </c>
      <c r="D62" s="10" t="n">
        <v>1</v>
      </c>
      <c r="E62" s="12" t="n">
        <v>120</v>
      </c>
      <c r="F62" s="13" t="n">
        <f aca="false">D62*E62</f>
        <v>120</v>
      </c>
      <c r="G62" s="14" t="n">
        <v>900</v>
      </c>
      <c r="H62" s="14" t="n">
        <f aca="false">D62*G62</f>
        <v>900</v>
      </c>
      <c r="I62" s="15"/>
      <c r="J62" s="11" t="s">
        <v>79</v>
      </c>
      <c r="K62" s="10" t="s">
        <v>86</v>
      </c>
      <c r="L62" s="11" t="s">
        <v>297</v>
      </c>
      <c r="M62" s="11" t="s">
        <v>298</v>
      </c>
    </row>
    <row r="63" customFormat="false" ht="23.85" hidden="false" customHeight="false" outlineLevel="0" collapsed="false">
      <c r="A63" s="10" t="n">
        <v>53</v>
      </c>
      <c r="B63" s="11" t="s">
        <v>299</v>
      </c>
      <c r="C63" s="11" t="s">
        <v>300</v>
      </c>
      <c r="D63" s="10" t="n">
        <v>4</v>
      </c>
      <c r="E63" s="12" t="n">
        <v>9</v>
      </c>
      <c r="F63" s="13" t="n">
        <f aca="false">D63*E63</f>
        <v>36</v>
      </c>
      <c r="G63" s="14" t="n">
        <v>300</v>
      </c>
      <c r="H63" s="14" t="n">
        <f aca="false">D63*G63</f>
        <v>1200</v>
      </c>
      <c r="I63" s="15"/>
      <c r="J63" s="11" t="s">
        <v>253</v>
      </c>
      <c r="K63" s="10" t="s">
        <v>86</v>
      </c>
      <c r="L63" s="11" t="s">
        <v>301</v>
      </c>
      <c r="M63" s="11" t="s">
        <v>302</v>
      </c>
    </row>
    <row r="64" customFormat="false" ht="23.85" hidden="false" customHeight="false" outlineLevel="0" collapsed="false">
      <c r="A64" s="10" t="n">
        <v>54</v>
      </c>
      <c r="B64" s="11" t="s">
        <v>303</v>
      </c>
      <c r="C64" s="11" t="s">
        <v>304</v>
      </c>
      <c r="D64" s="10" t="n">
        <v>4</v>
      </c>
      <c r="E64" s="12" t="n">
        <v>4</v>
      </c>
      <c r="F64" s="13" t="n">
        <f aca="false">D64*E64</f>
        <v>16</v>
      </c>
      <c r="G64" s="14" t="n">
        <v>180</v>
      </c>
      <c r="H64" s="14" t="n">
        <f aca="false">D64*G64</f>
        <v>720</v>
      </c>
      <c r="I64" s="15"/>
      <c r="J64" s="11" t="s">
        <v>151</v>
      </c>
      <c r="K64" s="10" t="s">
        <v>86</v>
      </c>
      <c r="L64" s="11" t="s">
        <v>305</v>
      </c>
      <c r="M64" s="11" t="s">
        <v>306</v>
      </c>
    </row>
    <row r="65" customFormat="false" ht="23.85" hidden="false" customHeight="false" outlineLevel="0" collapsed="false">
      <c r="A65" s="10" t="n">
        <v>55</v>
      </c>
      <c r="B65" s="11" t="s">
        <v>307</v>
      </c>
      <c r="C65" s="11" t="s">
        <v>308</v>
      </c>
      <c r="D65" s="10" t="n">
        <v>1</v>
      </c>
      <c r="E65" s="12" t="n">
        <v>15</v>
      </c>
      <c r="F65" s="13" t="n">
        <f aca="false">D65*E65</f>
        <v>15</v>
      </c>
      <c r="G65" s="14" t="n">
        <v>250</v>
      </c>
      <c r="H65" s="14" t="n">
        <f aca="false">D65*G65</f>
        <v>250</v>
      </c>
      <c r="I65" s="15"/>
      <c r="J65" s="11" t="s">
        <v>151</v>
      </c>
      <c r="K65" s="10" t="s">
        <v>86</v>
      </c>
      <c r="L65" s="11" t="s">
        <v>309</v>
      </c>
      <c r="M65" s="11" t="s">
        <v>310</v>
      </c>
    </row>
    <row r="66" customFormat="false" ht="15" hidden="false" customHeight="false" outlineLevel="0" collapsed="false">
      <c r="B66" s="5" t="s">
        <v>311</v>
      </c>
      <c r="F66" s="16" t="n">
        <f aca="false">SUM(F5:F65)</f>
        <v>5801</v>
      </c>
      <c r="H66" s="17" t="n">
        <f aca="false">SUM(H5:H65)</f>
        <v>313000</v>
      </c>
      <c r="I66" s="18" t="n">
        <f aca="false">SUM(I5:I65)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312</v>
      </c>
    </row>
    <row r="2" customFormat="false" ht="15" hidden="false" customHeight="false" outlineLevel="0" collapsed="false">
      <c r="A2" s="2" t="s">
        <v>313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314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23.85" hidden="false" customHeight="false" outlineLevel="0" collapsed="false">
      <c r="A5" s="10" t="n">
        <v>1</v>
      </c>
      <c r="B5" s="11" t="s">
        <v>315</v>
      </c>
      <c r="C5" s="11" t="s">
        <v>316</v>
      </c>
      <c r="D5" s="10" t="n">
        <v>14</v>
      </c>
      <c r="E5" s="12" t="n">
        <v>55</v>
      </c>
      <c r="F5" s="13" t="n">
        <f aca="false">D5*E5</f>
        <v>770</v>
      </c>
      <c r="G5" s="14" t="n">
        <v>180</v>
      </c>
      <c r="H5" s="14" t="n">
        <f aca="false">D5*G5</f>
        <v>2520</v>
      </c>
      <c r="I5" s="15"/>
      <c r="J5" s="11" t="s">
        <v>317</v>
      </c>
      <c r="K5" s="10" t="s">
        <v>54</v>
      </c>
      <c r="L5" s="11" t="s">
        <v>318</v>
      </c>
      <c r="M5" s="11" t="s">
        <v>319</v>
      </c>
    </row>
    <row r="6" customFormat="false" ht="23.85" hidden="false" customHeight="false" outlineLevel="0" collapsed="false">
      <c r="A6" s="10" t="n">
        <v>2</v>
      </c>
      <c r="B6" s="11" t="s">
        <v>320</v>
      </c>
      <c r="C6" s="11" t="s">
        <v>321</v>
      </c>
      <c r="D6" s="10" t="n">
        <v>14</v>
      </c>
      <c r="E6" s="12" t="n">
        <v>18</v>
      </c>
      <c r="F6" s="13" t="n">
        <f aca="false">D6*E6</f>
        <v>252</v>
      </c>
      <c r="G6" s="14" t="n">
        <v>60</v>
      </c>
      <c r="H6" s="14" t="n">
        <f aca="false">D6*G6</f>
        <v>840</v>
      </c>
      <c r="I6" s="15"/>
      <c r="J6" s="11" t="s">
        <v>156</v>
      </c>
      <c r="K6" s="10" t="s">
        <v>86</v>
      </c>
      <c r="L6" s="11" t="s">
        <v>322</v>
      </c>
      <c r="M6" s="11" t="s">
        <v>323</v>
      </c>
    </row>
    <row r="7" customFormat="false" ht="23.85" hidden="false" customHeight="false" outlineLevel="0" collapsed="false">
      <c r="A7" s="10" t="n">
        <v>3</v>
      </c>
      <c r="B7" s="11" t="s">
        <v>324</v>
      </c>
      <c r="C7" s="11" t="s">
        <v>325</v>
      </c>
      <c r="D7" s="10" t="n">
        <v>14</v>
      </c>
      <c r="E7" s="12" t="n">
        <v>110</v>
      </c>
      <c r="F7" s="13" t="n">
        <f aca="false">D7*E7</f>
        <v>1540</v>
      </c>
      <c r="G7" s="14" t="n">
        <v>220</v>
      </c>
      <c r="H7" s="14" t="n">
        <f aca="false">D7*G7</f>
        <v>3080</v>
      </c>
      <c r="I7" s="15"/>
      <c r="J7" s="11" t="s">
        <v>326</v>
      </c>
      <c r="K7" s="10" t="s">
        <v>86</v>
      </c>
      <c r="L7" s="11" t="s">
        <v>327</v>
      </c>
      <c r="M7" s="11" t="s">
        <v>328</v>
      </c>
    </row>
    <row r="8" customFormat="false" ht="23.85" hidden="false" customHeight="false" outlineLevel="0" collapsed="false">
      <c r="A8" s="10" t="n">
        <v>4</v>
      </c>
      <c r="B8" s="11" t="s">
        <v>329</v>
      </c>
      <c r="C8" s="11" t="s">
        <v>330</v>
      </c>
      <c r="D8" s="10" t="n">
        <v>14</v>
      </c>
      <c r="E8" s="12" t="n">
        <v>17</v>
      </c>
      <c r="F8" s="13" t="n">
        <f aca="false">D8*E8</f>
        <v>238</v>
      </c>
      <c r="G8" s="14" t="n">
        <v>20</v>
      </c>
      <c r="H8" s="14" t="n">
        <f aca="false">D8*G8</f>
        <v>280</v>
      </c>
      <c r="I8" s="15"/>
      <c r="J8" s="11" t="s">
        <v>156</v>
      </c>
      <c r="K8" s="10" t="s">
        <v>86</v>
      </c>
      <c r="L8" s="11" t="s">
        <v>331</v>
      </c>
      <c r="M8" s="11" t="s">
        <v>80</v>
      </c>
    </row>
    <row r="9" customFormat="false" ht="23.85" hidden="false" customHeight="false" outlineLevel="0" collapsed="false">
      <c r="A9" s="10" t="n">
        <v>5</v>
      </c>
      <c r="B9" s="11" t="s">
        <v>332</v>
      </c>
      <c r="C9" s="11" t="s">
        <v>333</v>
      </c>
      <c r="D9" s="10" t="n">
        <v>24</v>
      </c>
      <c r="E9" s="12" t="n">
        <v>200</v>
      </c>
      <c r="F9" s="13" t="n">
        <f aca="false">D9*E9</f>
        <v>4800</v>
      </c>
      <c r="G9" s="14" t="n">
        <v>150</v>
      </c>
      <c r="H9" s="14" t="n">
        <f aca="false">D9*G9</f>
        <v>3600</v>
      </c>
      <c r="I9" s="15"/>
      <c r="J9" s="11" t="s">
        <v>253</v>
      </c>
      <c r="K9" s="10" t="s">
        <v>86</v>
      </c>
      <c r="L9" s="11" t="s">
        <v>334</v>
      </c>
      <c r="M9" s="11" t="s">
        <v>335</v>
      </c>
    </row>
    <row r="10" customFormat="false" ht="15" hidden="false" customHeight="false" outlineLevel="0" collapsed="false">
      <c r="A10" s="8" t="s">
        <v>336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23.85" hidden="false" customHeight="false" outlineLevel="0" collapsed="false">
      <c r="A11" s="10" t="n">
        <v>6</v>
      </c>
      <c r="B11" s="11" t="s">
        <v>337</v>
      </c>
      <c r="C11" s="11" t="s">
        <v>338</v>
      </c>
      <c r="D11" s="10" t="n">
        <v>6</v>
      </c>
      <c r="E11" s="12" t="n">
        <v>4000</v>
      </c>
      <c r="F11" s="13" t="n">
        <f aca="false">D11*E11</f>
        <v>24000</v>
      </c>
      <c r="G11" s="14" t="n">
        <v>3500</v>
      </c>
      <c r="H11" s="14" t="n">
        <f aca="false">D11*G11</f>
        <v>21000</v>
      </c>
      <c r="I11" s="15"/>
      <c r="J11" s="11" t="s">
        <v>317</v>
      </c>
      <c r="K11" s="10" t="s">
        <v>60</v>
      </c>
      <c r="L11" s="11" t="s">
        <v>339</v>
      </c>
      <c r="M11" s="11" t="s">
        <v>340</v>
      </c>
    </row>
    <row r="12" customFormat="false" ht="23.85" hidden="false" customHeight="false" outlineLevel="0" collapsed="false">
      <c r="A12" s="10" t="n">
        <v>7</v>
      </c>
      <c r="B12" s="11" t="s">
        <v>341</v>
      </c>
      <c r="C12" s="11" t="s">
        <v>342</v>
      </c>
      <c r="D12" s="10" t="n">
        <v>6</v>
      </c>
      <c r="E12" s="12" t="n">
        <v>400</v>
      </c>
      <c r="F12" s="13" t="n">
        <f aca="false">D12*E12</f>
        <v>2400</v>
      </c>
      <c r="G12" s="14" t="n">
        <v>600</v>
      </c>
      <c r="H12" s="14" t="n">
        <f aca="false">D12*G12</f>
        <v>3600</v>
      </c>
      <c r="I12" s="15"/>
      <c r="J12" s="11" t="s">
        <v>156</v>
      </c>
      <c r="K12" s="10" t="s">
        <v>86</v>
      </c>
      <c r="L12" s="11" t="s">
        <v>343</v>
      </c>
      <c r="M12" s="11" t="s">
        <v>80</v>
      </c>
    </row>
    <row r="13" customFormat="false" ht="23.85" hidden="false" customHeight="false" outlineLevel="0" collapsed="false">
      <c r="A13" s="10" t="n">
        <v>8</v>
      </c>
      <c r="B13" s="11" t="s">
        <v>344</v>
      </c>
      <c r="C13" s="11" t="s">
        <v>345</v>
      </c>
      <c r="D13" s="10" t="n">
        <v>3</v>
      </c>
      <c r="E13" s="12" t="n">
        <v>2500</v>
      </c>
      <c r="F13" s="13" t="n">
        <f aca="false">D13*E13</f>
        <v>7500</v>
      </c>
      <c r="G13" s="14" t="n">
        <v>2500</v>
      </c>
      <c r="H13" s="14" t="n">
        <f aca="false">D13*G13</f>
        <v>7500</v>
      </c>
      <c r="I13" s="15"/>
      <c r="J13" s="11" t="s">
        <v>317</v>
      </c>
      <c r="K13" s="10" t="s">
        <v>54</v>
      </c>
      <c r="L13" s="11" t="s">
        <v>346</v>
      </c>
      <c r="M13" s="11" t="s">
        <v>347</v>
      </c>
    </row>
    <row r="14" customFormat="false" ht="35.05" hidden="false" customHeight="false" outlineLevel="0" collapsed="false">
      <c r="A14" s="10" t="n">
        <v>9</v>
      </c>
      <c r="B14" s="11" t="s">
        <v>348</v>
      </c>
      <c r="C14" s="11" t="s">
        <v>349</v>
      </c>
      <c r="D14" s="10" t="n">
        <v>12</v>
      </c>
      <c r="E14" s="12" t="n">
        <v>300</v>
      </c>
      <c r="F14" s="13" t="n">
        <f aca="false">D14*E14</f>
        <v>3600</v>
      </c>
      <c r="G14" s="14" t="n">
        <v>450</v>
      </c>
      <c r="H14" s="14" t="n">
        <f aca="false">D14*G14</f>
        <v>5400</v>
      </c>
      <c r="I14" s="15"/>
      <c r="J14" s="11" t="s">
        <v>350</v>
      </c>
      <c r="K14" s="10" t="s">
        <v>86</v>
      </c>
      <c r="L14" s="11" t="s">
        <v>351</v>
      </c>
      <c r="M14" s="11" t="s">
        <v>352</v>
      </c>
    </row>
    <row r="15" customFormat="false" ht="15" hidden="false" customHeight="false" outlineLevel="0" collapsed="false">
      <c r="B15" s="5" t="s">
        <v>311</v>
      </c>
      <c r="F15" s="16" t="n">
        <f aca="false">SUM(F5:F14)</f>
        <v>45100</v>
      </c>
      <c r="H15" s="17" t="n">
        <f aca="false">SUM(H5:H14)</f>
        <v>47820</v>
      </c>
      <c r="I15" s="18" t="n">
        <f aca="false">SUM(I5:I14)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353</v>
      </c>
    </row>
    <row r="2" customFormat="false" ht="15" hidden="false" customHeight="false" outlineLevel="0" collapsed="false">
      <c r="A2" s="2" t="s">
        <v>354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355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23.85" hidden="false" customHeight="false" outlineLevel="0" collapsed="false">
      <c r="A5" s="10" t="n">
        <v>1</v>
      </c>
      <c r="B5" s="11" t="s">
        <v>356</v>
      </c>
      <c r="C5" s="11" t="s">
        <v>357</v>
      </c>
      <c r="D5" s="10" t="n">
        <v>1</v>
      </c>
      <c r="E5" s="12" t="n">
        <v>2200</v>
      </c>
      <c r="F5" s="13" t="n">
        <f aca="false">D5*E5</f>
        <v>2200</v>
      </c>
      <c r="G5" s="14" t="n">
        <v>110000</v>
      </c>
      <c r="H5" s="14" t="n">
        <f aca="false">D5*G5</f>
        <v>110000</v>
      </c>
      <c r="I5" s="15"/>
      <c r="J5" s="11" t="s">
        <v>358</v>
      </c>
      <c r="K5" s="10" t="s">
        <v>54</v>
      </c>
      <c r="L5" s="11" t="s">
        <v>359</v>
      </c>
      <c r="M5" s="11" t="s">
        <v>360</v>
      </c>
    </row>
    <row r="6" customFormat="false" ht="23.85" hidden="false" customHeight="false" outlineLevel="0" collapsed="false">
      <c r="A6" s="10" t="n">
        <v>2</v>
      </c>
      <c r="B6" s="11" t="s">
        <v>361</v>
      </c>
      <c r="C6" s="11" t="s">
        <v>362</v>
      </c>
      <c r="D6" s="10" t="n">
        <v>1</v>
      </c>
      <c r="E6" s="12" t="n">
        <v>2200</v>
      </c>
      <c r="F6" s="13" t="n">
        <f aca="false">D6*E6</f>
        <v>2200</v>
      </c>
      <c r="G6" s="14" t="n">
        <v>90000</v>
      </c>
      <c r="H6" s="14" t="n">
        <f aca="false">D6*G6</f>
        <v>90000</v>
      </c>
      <c r="I6" s="15"/>
      <c r="J6" s="11" t="s">
        <v>358</v>
      </c>
      <c r="K6" s="10" t="s">
        <v>54</v>
      </c>
      <c r="L6" s="11" t="s">
        <v>363</v>
      </c>
      <c r="M6" s="11" t="s">
        <v>364</v>
      </c>
    </row>
    <row r="7" customFormat="false" ht="23.85" hidden="false" customHeight="false" outlineLevel="0" collapsed="false">
      <c r="A7" s="10" t="n">
        <v>3</v>
      </c>
      <c r="B7" s="11" t="s">
        <v>365</v>
      </c>
      <c r="C7" s="11" t="s">
        <v>366</v>
      </c>
      <c r="D7" s="10" t="n">
        <v>1</v>
      </c>
      <c r="E7" s="12" t="n">
        <v>600</v>
      </c>
      <c r="F7" s="13" t="n">
        <f aca="false">D7*E7</f>
        <v>600</v>
      </c>
      <c r="G7" s="14" t="n">
        <v>3500</v>
      </c>
      <c r="H7" s="14" t="n">
        <f aca="false">D7*G7</f>
        <v>3500</v>
      </c>
      <c r="I7" s="15"/>
      <c r="J7" s="11" t="s">
        <v>151</v>
      </c>
      <c r="K7" s="10" t="s">
        <v>86</v>
      </c>
      <c r="L7" s="11" t="s">
        <v>367</v>
      </c>
      <c r="M7" s="11" t="s">
        <v>368</v>
      </c>
    </row>
    <row r="8" customFormat="false" ht="23.85" hidden="false" customHeight="false" outlineLevel="0" collapsed="false">
      <c r="A8" s="10" t="n">
        <v>4</v>
      </c>
      <c r="B8" s="11" t="s">
        <v>369</v>
      </c>
      <c r="C8" s="11" t="s">
        <v>370</v>
      </c>
      <c r="D8" s="10" t="n">
        <v>1</v>
      </c>
      <c r="E8" s="12" t="n">
        <v>900</v>
      </c>
      <c r="F8" s="13" t="n">
        <f aca="false">D8*E8</f>
        <v>900</v>
      </c>
      <c r="G8" s="14" t="n">
        <v>18000</v>
      </c>
      <c r="H8" s="14" t="n">
        <f aca="false">D8*G8</f>
        <v>18000</v>
      </c>
      <c r="I8" s="15"/>
      <c r="J8" s="11" t="s">
        <v>151</v>
      </c>
      <c r="K8" s="10" t="s">
        <v>54</v>
      </c>
      <c r="L8" s="11" t="s">
        <v>371</v>
      </c>
      <c r="M8" s="11" t="s">
        <v>372</v>
      </c>
    </row>
    <row r="9" customFormat="false" ht="15" hidden="false" customHeight="false" outlineLevel="0" collapsed="false">
      <c r="A9" s="8" t="s">
        <v>373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customFormat="false" ht="23.85" hidden="false" customHeight="false" outlineLevel="0" collapsed="false">
      <c r="A10" s="10" t="n">
        <v>5</v>
      </c>
      <c r="B10" s="11" t="s">
        <v>374</v>
      </c>
      <c r="C10" s="11" t="s">
        <v>375</v>
      </c>
      <c r="D10" s="10" t="n">
        <v>1</v>
      </c>
      <c r="E10" s="12" t="n">
        <v>450</v>
      </c>
      <c r="F10" s="13" t="n">
        <f aca="false">D10*E10</f>
        <v>450</v>
      </c>
      <c r="G10" s="14" t="n">
        <v>8500</v>
      </c>
      <c r="H10" s="14" t="n">
        <f aca="false">D10*G10</f>
        <v>8500</v>
      </c>
      <c r="I10" s="15"/>
      <c r="J10" s="11" t="s">
        <v>151</v>
      </c>
      <c r="K10" s="10" t="s">
        <v>271</v>
      </c>
      <c r="L10" s="11" t="s">
        <v>376</v>
      </c>
      <c r="M10" s="11" t="s">
        <v>377</v>
      </c>
    </row>
    <row r="11" customFormat="false" ht="23.85" hidden="false" customHeight="false" outlineLevel="0" collapsed="false">
      <c r="A11" s="10" t="n">
        <v>6</v>
      </c>
      <c r="B11" s="11" t="s">
        <v>378</v>
      </c>
      <c r="C11" s="11" t="s">
        <v>379</v>
      </c>
      <c r="D11" s="10" t="n">
        <v>2</v>
      </c>
      <c r="E11" s="12" t="n">
        <v>320</v>
      </c>
      <c r="F11" s="13" t="n">
        <f aca="false">D11*E11</f>
        <v>640</v>
      </c>
      <c r="G11" s="14" t="n">
        <v>4500</v>
      </c>
      <c r="H11" s="14" t="n">
        <f aca="false">D11*G11</f>
        <v>9000</v>
      </c>
      <c r="I11" s="15"/>
      <c r="J11" s="11" t="s">
        <v>151</v>
      </c>
      <c r="K11" s="10" t="s">
        <v>54</v>
      </c>
      <c r="L11" s="11" t="s">
        <v>380</v>
      </c>
      <c r="M11" s="11" t="s">
        <v>381</v>
      </c>
    </row>
    <row r="12" customFormat="false" ht="23.85" hidden="false" customHeight="false" outlineLevel="0" collapsed="false">
      <c r="A12" s="10" t="n">
        <v>7</v>
      </c>
      <c r="B12" s="11" t="s">
        <v>382</v>
      </c>
      <c r="C12" s="11" t="s">
        <v>383</v>
      </c>
      <c r="D12" s="10" t="n">
        <v>1</v>
      </c>
      <c r="E12" s="12" t="n">
        <v>3500</v>
      </c>
      <c r="F12" s="13" t="n">
        <f aca="false">D12*E12</f>
        <v>3500</v>
      </c>
      <c r="G12" s="14" t="n">
        <v>6500</v>
      </c>
      <c r="H12" s="14" t="n">
        <f aca="false">D12*G12</f>
        <v>6500</v>
      </c>
      <c r="I12" s="15"/>
      <c r="J12" s="11" t="s">
        <v>151</v>
      </c>
      <c r="K12" s="10" t="s">
        <v>54</v>
      </c>
      <c r="L12" s="11" t="s">
        <v>384</v>
      </c>
      <c r="M12" s="11" t="s">
        <v>385</v>
      </c>
    </row>
    <row r="13" customFormat="false" ht="15" hidden="false" customHeight="false" outlineLevel="0" collapsed="false">
      <c r="A13" s="10" t="n">
        <v>8</v>
      </c>
      <c r="B13" s="11" t="s">
        <v>386</v>
      </c>
      <c r="C13" s="11" t="s">
        <v>387</v>
      </c>
      <c r="D13" s="10" t="n">
        <v>2</v>
      </c>
      <c r="E13" s="12" t="n">
        <v>220</v>
      </c>
      <c r="F13" s="13" t="n">
        <f aca="false">D13*E13</f>
        <v>440</v>
      </c>
      <c r="G13" s="14" t="n">
        <v>1800</v>
      </c>
      <c r="H13" s="14" t="n">
        <f aca="false">D13*G13</f>
        <v>3600</v>
      </c>
      <c r="I13" s="15"/>
      <c r="J13" s="11" t="s">
        <v>151</v>
      </c>
      <c r="K13" s="10" t="s">
        <v>54</v>
      </c>
      <c r="L13" s="11" t="s">
        <v>388</v>
      </c>
      <c r="M13" s="11" t="s">
        <v>389</v>
      </c>
    </row>
    <row r="14" customFormat="false" ht="15" hidden="false" customHeight="false" outlineLevel="0" collapsed="false">
      <c r="A14" s="8" t="s">
        <v>390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35.05" hidden="false" customHeight="false" outlineLevel="0" collapsed="false">
      <c r="A15" s="10" t="n">
        <v>9</v>
      </c>
      <c r="B15" s="11" t="s">
        <v>391</v>
      </c>
      <c r="C15" s="11" t="s">
        <v>392</v>
      </c>
      <c r="D15" s="10" t="n">
        <v>1</v>
      </c>
      <c r="E15" s="12" t="n">
        <v>600</v>
      </c>
      <c r="F15" s="13" t="n">
        <f aca="false">D15*E15</f>
        <v>600</v>
      </c>
      <c r="G15" s="14" t="n">
        <v>45000</v>
      </c>
      <c r="H15" s="14" t="n">
        <f aca="false">D15*G15</f>
        <v>45000</v>
      </c>
      <c r="I15" s="15"/>
      <c r="J15" s="11" t="s">
        <v>393</v>
      </c>
      <c r="K15" s="10" t="s">
        <v>131</v>
      </c>
      <c r="L15" s="11" t="s">
        <v>394</v>
      </c>
      <c r="M15" s="11" t="s">
        <v>395</v>
      </c>
    </row>
    <row r="16" customFormat="false" ht="15" hidden="false" customHeight="false" outlineLevel="0" collapsed="false">
      <c r="A16" s="10" t="n">
        <v>10</v>
      </c>
      <c r="B16" s="11" t="s">
        <v>396</v>
      </c>
      <c r="C16" s="11" t="s">
        <v>397</v>
      </c>
      <c r="D16" s="10" t="n">
        <v>1</v>
      </c>
      <c r="E16" s="12" t="n">
        <v>3500</v>
      </c>
      <c r="F16" s="13" t="n">
        <f aca="false">D16*E16</f>
        <v>3500</v>
      </c>
      <c r="G16" s="14" t="n">
        <v>12000</v>
      </c>
      <c r="H16" s="14" t="n">
        <f aca="false">D16*G16</f>
        <v>12000</v>
      </c>
      <c r="I16" s="15"/>
      <c r="J16" s="11" t="s">
        <v>398</v>
      </c>
      <c r="K16" s="10" t="s">
        <v>54</v>
      </c>
      <c r="L16" s="11" t="s">
        <v>399</v>
      </c>
      <c r="M16" s="11" t="s">
        <v>400</v>
      </c>
    </row>
    <row r="17" customFormat="false" ht="23.85" hidden="false" customHeight="false" outlineLevel="0" collapsed="false">
      <c r="A17" s="10" t="n">
        <v>11</v>
      </c>
      <c r="B17" s="11" t="s">
        <v>401</v>
      </c>
      <c r="C17" s="11" t="s">
        <v>402</v>
      </c>
      <c r="D17" s="10" t="n">
        <v>1</v>
      </c>
      <c r="E17" s="12" t="n">
        <v>150</v>
      </c>
      <c r="F17" s="13" t="n">
        <f aca="false">D17*E17</f>
        <v>150</v>
      </c>
      <c r="G17" s="14" t="n">
        <v>9500</v>
      </c>
      <c r="H17" s="14" t="n">
        <f aca="false">D17*G17</f>
        <v>9500</v>
      </c>
      <c r="I17" s="15"/>
      <c r="J17" s="11" t="s">
        <v>288</v>
      </c>
      <c r="K17" s="10" t="s">
        <v>171</v>
      </c>
      <c r="L17" s="11" t="s">
        <v>403</v>
      </c>
      <c r="M17" s="11" t="s">
        <v>404</v>
      </c>
    </row>
    <row r="18" customFormat="false" ht="15" hidden="false" customHeight="false" outlineLevel="0" collapsed="false">
      <c r="A18" s="8" t="s">
        <v>405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23.85" hidden="false" customHeight="false" outlineLevel="0" collapsed="false">
      <c r="A19" s="10" t="n">
        <v>12</v>
      </c>
      <c r="B19" s="11" t="s">
        <v>406</v>
      </c>
      <c r="C19" s="11" t="s">
        <v>407</v>
      </c>
      <c r="D19" s="10" t="n">
        <v>1</v>
      </c>
      <c r="E19" s="12" t="n">
        <v>18000</v>
      </c>
      <c r="F19" s="13" t="n">
        <f aca="false">D19*E19</f>
        <v>18000</v>
      </c>
      <c r="G19" s="14" t="n">
        <v>95000</v>
      </c>
      <c r="H19" s="14" t="n">
        <f aca="false">D19*G19</f>
        <v>95000</v>
      </c>
      <c r="I19" s="15"/>
      <c r="J19" s="11" t="s">
        <v>151</v>
      </c>
      <c r="K19" s="10" t="s">
        <v>54</v>
      </c>
      <c r="L19" s="11" t="s">
        <v>408</v>
      </c>
      <c r="M19" s="11" t="s">
        <v>409</v>
      </c>
    </row>
    <row r="20" customFormat="false" ht="23.85" hidden="false" customHeight="false" outlineLevel="0" collapsed="false">
      <c r="A20" s="10" t="n">
        <v>13</v>
      </c>
      <c r="B20" s="11" t="s">
        <v>410</v>
      </c>
      <c r="C20" s="11" t="s">
        <v>411</v>
      </c>
      <c r="D20" s="10" t="n">
        <v>1</v>
      </c>
      <c r="E20" s="12" t="n">
        <v>6000</v>
      </c>
      <c r="F20" s="13" t="n">
        <f aca="false">D20*E20</f>
        <v>6000</v>
      </c>
      <c r="G20" s="14" t="n">
        <v>18000</v>
      </c>
      <c r="H20" s="14" t="n">
        <f aca="false">D20*G20</f>
        <v>18000</v>
      </c>
      <c r="I20" s="15"/>
      <c r="J20" s="11" t="s">
        <v>151</v>
      </c>
      <c r="K20" s="10" t="s">
        <v>54</v>
      </c>
      <c r="L20" s="11" t="s">
        <v>412</v>
      </c>
      <c r="M20" s="11" t="s">
        <v>413</v>
      </c>
    </row>
    <row r="21" customFormat="false" ht="23.85" hidden="false" customHeight="false" outlineLevel="0" collapsed="false">
      <c r="A21" s="10" t="n">
        <v>14</v>
      </c>
      <c r="B21" s="11" t="s">
        <v>414</v>
      </c>
      <c r="C21" s="11" t="s">
        <v>415</v>
      </c>
      <c r="D21" s="10" t="n">
        <v>1</v>
      </c>
      <c r="E21" s="12" t="n">
        <v>12000</v>
      </c>
      <c r="F21" s="13" t="n">
        <f aca="false">D21*E21</f>
        <v>12000</v>
      </c>
      <c r="G21" s="14" t="n">
        <v>9000</v>
      </c>
      <c r="H21" s="14" t="n">
        <f aca="false">D21*G21</f>
        <v>9000</v>
      </c>
      <c r="I21" s="15"/>
      <c r="J21" s="11" t="s">
        <v>151</v>
      </c>
      <c r="K21" s="10" t="s">
        <v>86</v>
      </c>
      <c r="L21" s="11" t="s">
        <v>416</v>
      </c>
      <c r="M21" s="11" t="s">
        <v>80</v>
      </c>
    </row>
    <row r="22" customFormat="false" ht="23.85" hidden="false" customHeight="false" outlineLevel="0" collapsed="false">
      <c r="A22" s="10" t="n">
        <v>15</v>
      </c>
      <c r="B22" s="11" t="s">
        <v>417</v>
      </c>
      <c r="C22" s="11" t="s">
        <v>418</v>
      </c>
      <c r="D22" s="10" t="n">
        <v>1</v>
      </c>
      <c r="E22" s="12" t="n">
        <v>4500</v>
      </c>
      <c r="F22" s="13" t="n">
        <f aca="false">D22*E22</f>
        <v>4500</v>
      </c>
      <c r="G22" s="14" t="n">
        <v>7500</v>
      </c>
      <c r="H22" s="14" t="n">
        <f aca="false">D22*G22</f>
        <v>7500</v>
      </c>
      <c r="I22" s="15"/>
      <c r="J22" s="11" t="s">
        <v>419</v>
      </c>
      <c r="K22" s="10" t="s">
        <v>54</v>
      </c>
      <c r="L22" s="11" t="s">
        <v>420</v>
      </c>
      <c r="M22" s="11" t="s">
        <v>421</v>
      </c>
    </row>
    <row r="23" customFormat="false" ht="23.85" hidden="false" customHeight="false" outlineLevel="0" collapsed="false">
      <c r="A23" s="10" t="n">
        <v>16</v>
      </c>
      <c r="B23" s="11" t="s">
        <v>422</v>
      </c>
      <c r="C23" s="11" t="s">
        <v>423</v>
      </c>
      <c r="D23" s="10" t="n">
        <v>1</v>
      </c>
      <c r="E23" s="12" t="n">
        <v>400</v>
      </c>
      <c r="F23" s="13" t="n">
        <f aca="false">D23*E23</f>
        <v>400</v>
      </c>
      <c r="G23" s="14" t="n">
        <v>4500</v>
      </c>
      <c r="H23" s="14" t="n">
        <f aca="false">D23*G23</f>
        <v>4500</v>
      </c>
      <c r="I23" s="15"/>
      <c r="J23" s="11" t="s">
        <v>151</v>
      </c>
      <c r="K23" s="10" t="s">
        <v>86</v>
      </c>
      <c r="L23" s="11" t="s">
        <v>424</v>
      </c>
      <c r="M23" s="11" t="s">
        <v>425</v>
      </c>
    </row>
    <row r="24" customFormat="false" ht="23.85" hidden="false" customHeight="false" outlineLevel="0" collapsed="false">
      <c r="A24" s="10" t="n">
        <v>17</v>
      </c>
      <c r="B24" s="11" t="s">
        <v>426</v>
      </c>
      <c r="C24" s="11" t="s">
        <v>427</v>
      </c>
      <c r="D24" s="10" t="n">
        <v>4</v>
      </c>
      <c r="E24" s="12" t="n">
        <v>7000</v>
      </c>
      <c r="F24" s="13" t="n">
        <f aca="false">D24*E24</f>
        <v>28000</v>
      </c>
      <c r="G24" s="14" t="n">
        <v>22000</v>
      </c>
      <c r="H24" s="14" t="n">
        <f aca="false">D24*G24</f>
        <v>88000</v>
      </c>
      <c r="I24" s="15"/>
      <c r="J24" s="11" t="s">
        <v>428</v>
      </c>
      <c r="K24" s="10" t="s">
        <v>60</v>
      </c>
      <c r="L24" s="11" t="s">
        <v>429</v>
      </c>
      <c r="M24" s="11" t="s">
        <v>430</v>
      </c>
    </row>
    <row r="25" customFormat="false" ht="15" hidden="false" customHeight="false" outlineLevel="0" collapsed="false">
      <c r="A25" s="8" t="s">
        <v>431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15" hidden="false" customHeight="false" outlineLevel="0" collapsed="false">
      <c r="A26" s="10" t="n">
        <v>18</v>
      </c>
      <c r="B26" s="11" t="s">
        <v>432</v>
      </c>
      <c r="C26" s="11" t="s">
        <v>433</v>
      </c>
      <c r="D26" s="10" t="n">
        <v>6</v>
      </c>
      <c r="E26" s="12" t="n">
        <v>300</v>
      </c>
      <c r="F26" s="13" t="n">
        <f aca="false">D26*E26</f>
        <v>1800</v>
      </c>
      <c r="G26" s="14" t="n">
        <v>1200</v>
      </c>
      <c r="H26" s="14" t="n">
        <f aca="false">D26*G26</f>
        <v>7200</v>
      </c>
      <c r="I26" s="15"/>
      <c r="J26" s="11" t="s">
        <v>151</v>
      </c>
      <c r="K26" s="10" t="s">
        <v>86</v>
      </c>
      <c r="L26" s="11" t="s">
        <v>434</v>
      </c>
      <c r="M26" s="11" t="s">
        <v>80</v>
      </c>
    </row>
    <row r="27" customFormat="false" ht="23.85" hidden="false" customHeight="false" outlineLevel="0" collapsed="false">
      <c r="A27" s="10" t="n">
        <v>19</v>
      </c>
      <c r="B27" s="11" t="s">
        <v>435</v>
      </c>
      <c r="C27" s="11" t="s">
        <v>436</v>
      </c>
      <c r="D27" s="10" t="n">
        <v>2</v>
      </c>
      <c r="E27" s="12" t="n">
        <v>5000</v>
      </c>
      <c r="F27" s="13" t="n">
        <f aca="false">D27*E27</f>
        <v>10000</v>
      </c>
      <c r="G27" s="14" t="n">
        <v>6500</v>
      </c>
      <c r="H27" s="14" t="n">
        <f aca="false">D27*G27</f>
        <v>13000</v>
      </c>
      <c r="I27" s="15"/>
      <c r="J27" s="11" t="s">
        <v>156</v>
      </c>
      <c r="K27" s="10" t="s">
        <v>86</v>
      </c>
      <c r="L27" s="11" t="s">
        <v>437</v>
      </c>
      <c r="M27" s="11" t="s">
        <v>80</v>
      </c>
    </row>
    <row r="28" customFormat="false" ht="23.85" hidden="false" customHeight="false" outlineLevel="0" collapsed="false">
      <c r="A28" s="10" t="n">
        <v>20</v>
      </c>
      <c r="B28" s="11" t="s">
        <v>438</v>
      </c>
      <c r="C28" s="11" t="s">
        <v>439</v>
      </c>
      <c r="D28" s="10" t="n">
        <v>1</v>
      </c>
      <c r="E28" s="12" t="n">
        <v>1500</v>
      </c>
      <c r="F28" s="13" t="n">
        <f aca="false">D28*E28</f>
        <v>1500</v>
      </c>
      <c r="G28" s="14" t="n">
        <v>3500</v>
      </c>
      <c r="H28" s="14" t="n">
        <f aca="false">D28*G28</f>
        <v>3500</v>
      </c>
      <c r="I28" s="15"/>
      <c r="J28" s="11" t="s">
        <v>156</v>
      </c>
      <c r="K28" s="10" t="s">
        <v>86</v>
      </c>
      <c r="L28" s="11" t="s">
        <v>440</v>
      </c>
      <c r="M28" s="11" t="s">
        <v>80</v>
      </c>
    </row>
    <row r="29" customFormat="false" ht="23.85" hidden="false" customHeight="false" outlineLevel="0" collapsed="false">
      <c r="A29" s="10" t="n">
        <v>21</v>
      </c>
      <c r="B29" s="11" t="s">
        <v>441</v>
      </c>
      <c r="C29" s="11" t="s">
        <v>442</v>
      </c>
      <c r="D29" s="10" t="n">
        <v>5</v>
      </c>
      <c r="E29" s="12" t="n">
        <v>200</v>
      </c>
      <c r="F29" s="13" t="n">
        <f aca="false">D29*E29</f>
        <v>1000</v>
      </c>
      <c r="G29" s="14" t="n">
        <v>600</v>
      </c>
      <c r="H29" s="14" t="n">
        <f aca="false">D29*G29</f>
        <v>3000</v>
      </c>
      <c r="I29" s="15"/>
      <c r="J29" s="11" t="s">
        <v>156</v>
      </c>
      <c r="K29" s="10" t="s">
        <v>86</v>
      </c>
      <c r="L29" s="11" t="s">
        <v>443</v>
      </c>
      <c r="M29" s="11" t="s">
        <v>80</v>
      </c>
    </row>
    <row r="30" customFormat="false" ht="23.85" hidden="false" customHeight="false" outlineLevel="0" collapsed="false">
      <c r="A30" s="10" t="n">
        <v>22</v>
      </c>
      <c r="B30" s="11" t="s">
        <v>444</v>
      </c>
      <c r="C30" s="11" t="s">
        <v>445</v>
      </c>
      <c r="D30" s="10" t="n">
        <v>1</v>
      </c>
      <c r="E30" s="12" t="n">
        <v>700</v>
      </c>
      <c r="F30" s="13" t="n">
        <f aca="false">D30*E30</f>
        <v>700</v>
      </c>
      <c r="G30" s="14" t="n">
        <v>18000</v>
      </c>
      <c r="H30" s="14" t="n">
        <f aca="false">D30*G30</f>
        <v>18000</v>
      </c>
      <c r="I30" s="15"/>
      <c r="J30" s="11" t="s">
        <v>151</v>
      </c>
      <c r="K30" s="10" t="s">
        <v>54</v>
      </c>
      <c r="L30" s="11" t="s">
        <v>446</v>
      </c>
      <c r="M30" s="11" t="s">
        <v>80</v>
      </c>
    </row>
    <row r="31" customFormat="false" ht="23.85" hidden="false" customHeight="false" outlineLevel="0" collapsed="false">
      <c r="A31" s="10" t="n">
        <v>23</v>
      </c>
      <c r="B31" s="11" t="s">
        <v>447</v>
      </c>
      <c r="C31" s="11" t="s">
        <v>448</v>
      </c>
      <c r="D31" s="10" t="n">
        <v>1</v>
      </c>
      <c r="E31" s="12" t="n">
        <v>2000</v>
      </c>
      <c r="F31" s="13" t="n">
        <f aca="false">D31*E31</f>
        <v>2000</v>
      </c>
      <c r="G31" s="14" t="n">
        <v>1500</v>
      </c>
      <c r="H31" s="14" t="n">
        <f aca="false">D31*G31</f>
        <v>1500</v>
      </c>
      <c r="I31" s="15"/>
      <c r="J31" s="11" t="s">
        <v>156</v>
      </c>
      <c r="K31" s="10" t="s">
        <v>86</v>
      </c>
      <c r="L31" s="11" t="s">
        <v>449</v>
      </c>
      <c r="M31" s="11" t="s">
        <v>80</v>
      </c>
    </row>
    <row r="32" customFormat="false" ht="15" hidden="false" customHeight="false" outlineLevel="0" collapsed="false">
      <c r="B32" s="5" t="s">
        <v>311</v>
      </c>
      <c r="F32" s="16" t="n">
        <f aca="false">SUM(F5:F31)</f>
        <v>101080</v>
      </c>
      <c r="H32" s="17" t="n">
        <f aca="false">SUM(H5:H31)</f>
        <v>583800</v>
      </c>
      <c r="I32" s="18" t="n">
        <f aca="false">SUM(I5:I31)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450</v>
      </c>
    </row>
    <row r="2" customFormat="false" ht="15" hidden="false" customHeight="false" outlineLevel="0" collapsed="false">
      <c r="A2" s="2" t="s">
        <v>451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452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35.05" hidden="false" customHeight="false" outlineLevel="0" collapsed="false">
      <c r="A5" s="10" t="n">
        <v>1</v>
      </c>
      <c r="B5" s="11" t="s">
        <v>453</v>
      </c>
      <c r="C5" s="11" t="s">
        <v>454</v>
      </c>
      <c r="D5" s="10" t="n">
        <v>1</v>
      </c>
      <c r="E5" s="12" t="n">
        <v>3000</v>
      </c>
      <c r="F5" s="13" t="n">
        <f aca="false">D5*E5</f>
        <v>3000</v>
      </c>
      <c r="G5" s="14" t="n">
        <v>145000</v>
      </c>
      <c r="H5" s="14" t="n">
        <f aca="false">D5*G5</f>
        <v>145000</v>
      </c>
      <c r="I5" s="15"/>
      <c r="J5" s="11" t="s">
        <v>455</v>
      </c>
      <c r="K5" s="10" t="s">
        <v>119</v>
      </c>
      <c r="L5" s="11" t="s">
        <v>456</v>
      </c>
      <c r="M5" s="11" t="s">
        <v>457</v>
      </c>
    </row>
    <row r="6" customFormat="false" ht="15" hidden="false" customHeight="false" outlineLevel="0" collapsed="false">
      <c r="A6" s="10" t="n">
        <v>2</v>
      </c>
      <c r="B6" s="11" t="s">
        <v>458</v>
      </c>
      <c r="C6" s="11" t="s">
        <v>459</v>
      </c>
      <c r="D6" s="10" t="n">
        <v>2</v>
      </c>
      <c r="E6" s="12" t="n">
        <v>180</v>
      </c>
      <c r="F6" s="13" t="n">
        <f aca="false">D6*E6</f>
        <v>360</v>
      </c>
      <c r="G6" s="14" t="n">
        <v>4500</v>
      </c>
      <c r="H6" s="14" t="n">
        <f aca="false">D6*G6</f>
        <v>9000</v>
      </c>
      <c r="I6" s="15"/>
      <c r="J6" s="11" t="s">
        <v>460</v>
      </c>
      <c r="K6" s="10" t="s">
        <v>54</v>
      </c>
      <c r="L6" s="11" t="s">
        <v>461</v>
      </c>
      <c r="M6" s="11" t="s">
        <v>462</v>
      </c>
    </row>
    <row r="7" customFormat="false" ht="23.85" hidden="false" customHeight="false" outlineLevel="0" collapsed="false">
      <c r="A7" s="10" t="n">
        <v>3</v>
      </c>
      <c r="B7" s="11" t="s">
        <v>463</v>
      </c>
      <c r="C7" s="11" t="s">
        <v>464</v>
      </c>
      <c r="D7" s="10" t="n">
        <v>2</v>
      </c>
      <c r="E7" s="12" t="n">
        <v>1200</v>
      </c>
      <c r="F7" s="13" t="n">
        <f aca="false">D7*E7</f>
        <v>2400</v>
      </c>
      <c r="G7" s="14" t="n">
        <v>32000</v>
      </c>
      <c r="H7" s="14" t="n">
        <f aca="false">D7*G7</f>
        <v>64000</v>
      </c>
      <c r="I7" s="15"/>
      <c r="J7" s="11" t="s">
        <v>465</v>
      </c>
      <c r="K7" s="10" t="s">
        <v>60</v>
      </c>
      <c r="L7" s="11" t="s">
        <v>466</v>
      </c>
      <c r="M7" s="11" t="s">
        <v>467</v>
      </c>
    </row>
    <row r="8" customFormat="false" ht="15" hidden="false" customHeight="false" outlineLevel="0" collapsed="false">
      <c r="A8" s="10" t="n">
        <v>4</v>
      </c>
      <c r="B8" s="11" t="s">
        <v>468</v>
      </c>
      <c r="C8" s="11" t="s">
        <v>469</v>
      </c>
      <c r="D8" s="10" t="n">
        <v>2</v>
      </c>
      <c r="E8" s="12" t="n">
        <v>1500</v>
      </c>
      <c r="F8" s="13" t="n">
        <f aca="false">D8*E8</f>
        <v>3000</v>
      </c>
      <c r="G8" s="14" t="n">
        <v>9000</v>
      </c>
      <c r="H8" s="14" t="n">
        <f aca="false">D8*G8</f>
        <v>18000</v>
      </c>
      <c r="I8" s="15"/>
      <c r="J8" s="11" t="s">
        <v>151</v>
      </c>
      <c r="K8" s="10" t="s">
        <v>54</v>
      </c>
      <c r="L8" s="11" t="s">
        <v>470</v>
      </c>
      <c r="M8" s="11" t="s">
        <v>80</v>
      </c>
    </row>
    <row r="9" customFormat="false" ht="23.85" hidden="false" customHeight="false" outlineLevel="0" collapsed="false">
      <c r="A9" s="10" t="n">
        <v>5</v>
      </c>
      <c r="B9" s="11" t="s">
        <v>471</v>
      </c>
      <c r="C9" s="11" t="s">
        <v>472</v>
      </c>
      <c r="D9" s="10" t="n">
        <v>1</v>
      </c>
      <c r="E9" s="12" t="n">
        <v>900</v>
      </c>
      <c r="F9" s="13" t="n">
        <f aca="false">D9*E9</f>
        <v>900</v>
      </c>
      <c r="G9" s="14" t="n">
        <v>14000</v>
      </c>
      <c r="H9" s="14" t="n">
        <f aca="false">D9*G9</f>
        <v>14000</v>
      </c>
      <c r="I9" s="15"/>
      <c r="J9" s="11" t="s">
        <v>151</v>
      </c>
      <c r="K9" s="10" t="s">
        <v>171</v>
      </c>
      <c r="L9" s="11" t="s">
        <v>473</v>
      </c>
      <c r="M9" s="11" t="s">
        <v>474</v>
      </c>
    </row>
    <row r="10" customFormat="false" ht="23.85" hidden="false" customHeight="false" outlineLevel="0" collapsed="false">
      <c r="A10" s="10" t="n">
        <v>6</v>
      </c>
      <c r="B10" s="11" t="s">
        <v>475</v>
      </c>
      <c r="C10" s="11" t="s">
        <v>476</v>
      </c>
      <c r="D10" s="10" t="n">
        <v>1</v>
      </c>
      <c r="E10" s="12" t="n">
        <v>3500</v>
      </c>
      <c r="F10" s="13" t="n">
        <f aca="false">D10*E10</f>
        <v>3500</v>
      </c>
      <c r="G10" s="14" t="n">
        <v>18000</v>
      </c>
      <c r="H10" s="14" t="n">
        <f aca="false">D10*G10</f>
        <v>18000</v>
      </c>
      <c r="I10" s="15"/>
      <c r="J10" s="11" t="s">
        <v>151</v>
      </c>
      <c r="K10" s="10" t="s">
        <v>171</v>
      </c>
      <c r="L10" s="11" t="s">
        <v>477</v>
      </c>
      <c r="M10" s="11" t="s">
        <v>478</v>
      </c>
    </row>
    <row r="11" customFormat="false" ht="15" hidden="false" customHeight="false" outlineLevel="0" collapsed="false">
      <c r="A11" s="8" t="s">
        <v>479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15" hidden="false" customHeight="false" outlineLevel="0" collapsed="false">
      <c r="A12" s="10" t="n">
        <v>7</v>
      </c>
      <c r="B12" s="11" t="s">
        <v>480</v>
      </c>
      <c r="C12" s="11" t="s">
        <v>481</v>
      </c>
      <c r="D12" s="10" t="n">
        <v>1</v>
      </c>
      <c r="E12" s="12" t="n">
        <v>2000</v>
      </c>
      <c r="F12" s="13" t="n">
        <f aca="false">D12*E12</f>
        <v>2000</v>
      </c>
      <c r="G12" s="14" t="n">
        <v>6500</v>
      </c>
      <c r="H12" s="14" t="n">
        <f aca="false">D12*G12</f>
        <v>6500</v>
      </c>
      <c r="I12" s="15"/>
      <c r="J12" s="11" t="s">
        <v>151</v>
      </c>
      <c r="K12" s="10" t="s">
        <v>86</v>
      </c>
      <c r="L12" s="11" t="s">
        <v>482</v>
      </c>
      <c r="M12" s="11" t="s">
        <v>80</v>
      </c>
    </row>
    <row r="13" customFormat="false" ht="23.85" hidden="false" customHeight="false" outlineLevel="0" collapsed="false">
      <c r="A13" s="10" t="n">
        <v>8</v>
      </c>
      <c r="B13" s="11" t="s">
        <v>483</v>
      </c>
      <c r="C13" s="11" t="s">
        <v>484</v>
      </c>
      <c r="D13" s="10" t="n">
        <v>1</v>
      </c>
      <c r="E13" s="12" t="n">
        <v>400</v>
      </c>
      <c r="F13" s="13" t="n">
        <f aca="false">D13*E13</f>
        <v>400</v>
      </c>
      <c r="G13" s="14" t="n">
        <v>4500</v>
      </c>
      <c r="H13" s="14" t="n">
        <f aca="false">D13*G13</f>
        <v>4500</v>
      </c>
      <c r="I13" s="15"/>
      <c r="J13" s="11" t="s">
        <v>151</v>
      </c>
      <c r="K13" s="10" t="s">
        <v>86</v>
      </c>
      <c r="L13" s="11" t="s">
        <v>485</v>
      </c>
      <c r="M13" s="11" t="s">
        <v>486</v>
      </c>
    </row>
    <row r="14" customFormat="false" ht="23.85" hidden="false" customHeight="false" outlineLevel="0" collapsed="false">
      <c r="A14" s="10" t="n">
        <v>9</v>
      </c>
      <c r="B14" s="11" t="s">
        <v>487</v>
      </c>
      <c r="C14" s="11" t="s">
        <v>488</v>
      </c>
      <c r="D14" s="10" t="n">
        <v>2</v>
      </c>
      <c r="E14" s="12" t="n">
        <v>300</v>
      </c>
      <c r="F14" s="13" t="n">
        <f aca="false">D14*E14</f>
        <v>600</v>
      </c>
      <c r="G14" s="14" t="n">
        <v>3500</v>
      </c>
      <c r="H14" s="14" t="n">
        <f aca="false">D14*G14</f>
        <v>7000</v>
      </c>
      <c r="I14" s="15"/>
      <c r="J14" s="11" t="s">
        <v>489</v>
      </c>
      <c r="K14" s="10" t="s">
        <v>86</v>
      </c>
      <c r="L14" s="11" t="s">
        <v>490</v>
      </c>
      <c r="M14" s="11" t="s">
        <v>80</v>
      </c>
    </row>
    <row r="15" customFormat="false" ht="23.85" hidden="false" customHeight="false" outlineLevel="0" collapsed="false">
      <c r="A15" s="10" t="n">
        <v>10</v>
      </c>
      <c r="B15" s="11" t="s">
        <v>491</v>
      </c>
      <c r="C15" s="11" t="s">
        <v>492</v>
      </c>
      <c r="D15" s="10" t="n">
        <v>1</v>
      </c>
      <c r="E15" s="12" t="n">
        <v>400</v>
      </c>
      <c r="F15" s="13" t="n">
        <f aca="false">D15*E15</f>
        <v>400</v>
      </c>
      <c r="G15" s="14" t="n">
        <v>7500</v>
      </c>
      <c r="H15" s="14" t="n">
        <f aca="false">D15*G15</f>
        <v>7500</v>
      </c>
      <c r="I15" s="15"/>
      <c r="J15" s="11" t="s">
        <v>493</v>
      </c>
      <c r="K15" s="10" t="s">
        <v>54</v>
      </c>
      <c r="L15" s="11" t="s">
        <v>494</v>
      </c>
      <c r="M15" s="11" t="s">
        <v>80</v>
      </c>
    </row>
    <row r="16" customFormat="false" ht="23.85" hidden="false" customHeight="false" outlineLevel="0" collapsed="false">
      <c r="A16" s="10" t="n">
        <v>11</v>
      </c>
      <c r="B16" s="11" t="s">
        <v>495</v>
      </c>
      <c r="C16" s="11" t="s">
        <v>496</v>
      </c>
      <c r="D16" s="10" t="n">
        <v>1</v>
      </c>
      <c r="E16" s="12" t="n">
        <v>600</v>
      </c>
      <c r="F16" s="13" t="n">
        <f aca="false">D16*E16</f>
        <v>600</v>
      </c>
      <c r="G16" s="14" t="n">
        <v>3500</v>
      </c>
      <c r="H16" s="14" t="n">
        <f aca="false">D16*G16</f>
        <v>3500</v>
      </c>
      <c r="I16" s="15"/>
      <c r="J16" s="11" t="s">
        <v>497</v>
      </c>
      <c r="K16" s="10" t="s">
        <v>54</v>
      </c>
      <c r="L16" s="11" t="s">
        <v>498</v>
      </c>
      <c r="M16" s="11" t="s">
        <v>80</v>
      </c>
    </row>
    <row r="17" customFormat="false" ht="23.85" hidden="false" customHeight="false" outlineLevel="0" collapsed="false">
      <c r="A17" s="10" t="n">
        <v>12</v>
      </c>
      <c r="B17" s="11" t="s">
        <v>499</v>
      </c>
      <c r="C17" s="11" t="s">
        <v>500</v>
      </c>
      <c r="D17" s="10" t="n">
        <v>1</v>
      </c>
      <c r="E17" s="12" t="n">
        <v>50</v>
      </c>
      <c r="F17" s="13" t="n">
        <f aca="false">D17*E17</f>
        <v>50</v>
      </c>
      <c r="G17" s="14" t="n">
        <v>8500</v>
      </c>
      <c r="H17" s="14" t="n">
        <f aca="false">D17*G17</f>
        <v>8500</v>
      </c>
      <c r="I17" s="15"/>
      <c r="J17" s="11" t="s">
        <v>151</v>
      </c>
      <c r="K17" s="10" t="s">
        <v>54</v>
      </c>
      <c r="L17" s="11" t="s">
        <v>501</v>
      </c>
      <c r="M17" s="11" t="s">
        <v>502</v>
      </c>
    </row>
    <row r="18" customFormat="false" ht="23.85" hidden="false" customHeight="false" outlineLevel="0" collapsed="false">
      <c r="A18" s="10" t="n">
        <v>13</v>
      </c>
      <c r="B18" s="11" t="s">
        <v>503</v>
      </c>
      <c r="C18" s="11" t="s">
        <v>504</v>
      </c>
      <c r="D18" s="10" t="n">
        <v>1</v>
      </c>
      <c r="E18" s="12" t="n">
        <v>900</v>
      </c>
      <c r="F18" s="13" t="n">
        <f aca="false">D18*E18</f>
        <v>900</v>
      </c>
      <c r="G18" s="14" t="n">
        <v>3500</v>
      </c>
      <c r="H18" s="14" t="n">
        <f aca="false">D18*G18</f>
        <v>3500</v>
      </c>
      <c r="I18" s="15"/>
      <c r="J18" s="11" t="s">
        <v>505</v>
      </c>
      <c r="K18" s="10" t="s">
        <v>86</v>
      </c>
      <c r="L18" s="11" t="s">
        <v>506</v>
      </c>
      <c r="M18" s="11" t="s">
        <v>507</v>
      </c>
    </row>
    <row r="19" customFormat="false" ht="15" hidden="false" customHeight="false" outlineLevel="0" collapsed="false">
      <c r="A19" s="8" t="s">
        <v>508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23.85" hidden="false" customHeight="false" outlineLevel="0" collapsed="false">
      <c r="A20" s="10" t="n">
        <v>14</v>
      </c>
      <c r="B20" s="11" t="s">
        <v>509</v>
      </c>
      <c r="C20" s="11" t="s">
        <v>510</v>
      </c>
      <c r="D20" s="10" t="n">
        <v>1</v>
      </c>
      <c r="E20" s="12" t="n">
        <v>2500</v>
      </c>
      <c r="F20" s="13" t="n">
        <f aca="false">D20*E20</f>
        <v>2500</v>
      </c>
      <c r="G20" s="14" t="n">
        <v>12000</v>
      </c>
      <c r="H20" s="14" t="n">
        <f aca="false">D20*G20</f>
        <v>12000</v>
      </c>
      <c r="I20" s="15"/>
      <c r="J20" s="11" t="s">
        <v>511</v>
      </c>
      <c r="K20" s="10" t="s">
        <v>54</v>
      </c>
      <c r="L20" s="11" t="s">
        <v>512</v>
      </c>
      <c r="M20" s="11" t="s">
        <v>80</v>
      </c>
    </row>
    <row r="21" customFormat="false" ht="15" hidden="false" customHeight="false" outlineLevel="0" collapsed="false">
      <c r="A21" s="10" t="n">
        <v>15</v>
      </c>
      <c r="B21" s="11" t="s">
        <v>513</v>
      </c>
      <c r="C21" s="11" t="s">
        <v>514</v>
      </c>
      <c r="D21" s="10" t="n">
        <v>1</v>
      </c>
      <c r="E21" s="12" t="n">
        <v>3000</v>
      </c>
      <c r="F21" s="13" t="n">
        <f aca="false">D21*E21</f>
        <v>3000</v>
      </c>
      <c r="G21" s="14" t="n">
        <v>7500</v>
      </c>
      <c r="H21" s="14" t="n">
        <f aca="false">D21*G21</f>
        <v>7500</v>
      </c>
      <c r="I21" s="15"/>
      <c r="J21" s="11" t="s">
        <v>151</v>
      </c>
      <c r="K21" s="10" t="s">
        <v>54</v>
      </c>
      <c r="L21" s="11" t="s">
        <v>80</v>
      </c>
      <c r="M21" s="11" t="s">
        <v>515</v>
      </c>
    </row>
    <row r="22" customFormat="false" ht="15" hidden="false" customHeight="false" outlineLevel="0" collapsed="false">
      <c r="A22" s="10" t="n">
        <v>16</v>
      </c>
      <c r="B22" s="11" t="s">
        <v>516</v>
      </c>
      <c r="C22" s="11" t="s">
        <v>517</v>
      </c>
      <c r="D22" s="10" t="n">
        <v>1</v>
      </c>
      <c r="E22" s="12" t="n">
        <v>4000</v>
      </c>
      <c r="F22" s="13" t="n">
        <f aca="false">D22*E22</f>
        <v>4000</v>
      </c>
      <c r="G22" s="14" t="n">
        <v>9500</v>
      </c>
      <c r="H22" s="14" t="n">
        <f aca="false">D22*G22</f>
        <v>9500</v>
      </c>
      <c r="I22" s="15"/>
      <c r="J22" s="11" t="s">
        <v>151</v>
      </c>
      <c r="K22" s="10" t="s">
        <v>54</v>
      </c>
      <c r="L22" s="11" t="s">
        <v>518</v>
      </c>
      <c r="M22" s="11" t="s">
        <v>80</v>
      </c>
    </row>
    <row r="23" customFormat="false" ht="15" hidden="false" customHeight="false" outlineLevel="0" collapsed="false">
      <c r="A23" s="10" t="n">
        <v>17</v>
      </c>
      <c r="B23" s="11" t="s">
        <v>519</v>
      </c>
      <c r="C23" s="11" t="s">
        <v>520</v>
      </c>
      <c r="D23" s="10" t="n">
        <v>2</v>
      </c>
      <c r="E23" s="12" t="n">
        <v>350</v>
      </c>
      <c r="F23" s="13" t="n">
        <f aca="false">D23*E23</f>
        <v>700</v>
      </c>
      <c r="G23" s="14" t="n">
        <v>4500</v>
      </c>
      <c r="H23" s="14" t="n">
        <f aca="false">D23*G23</f>
        <v>9000</v>
      </c>
      <c r="I23" s="15"/>
      <c r="J23" s="11" t="s">
        <v>521</v>
      </c>
      <c r="K23" s="10" t="s">
        <v>86</v>
      </c>
      <c r="L23" s="11" t="s">
        <v>80</v>
      </c>
      <c r="M23" s="11" t="s">
        <v>80</v>
      </c>
    </row>
    <row r="24" customFormat="false" ht="23.85" hidden="false" customHeight="false" outlineLevel="0" collapsed="false">
      <c r="A24" s="10" t="n">
        <v>18</v>
      </c>
      <c r="B24" s="11" t="s">
        <v>522</v>
      </c>
      <c r="C24" s="11" t="s">
        <v>523</v>
      </c>
      <c r="D24" s="10" t="n">
        <v>1</v>
      </c>
      <c r="E24" s="12" t="n">
        <v>12000</v>
      </c>
      <c r="F24" s="13" t="n">
        <f aca="false">D24*E24</f>
        <v>12000</v>
      </c>
      <c r="G24" s="14" t="n">
        <v>55000</v>
      </c>
      <c r="H24" s="14" t="n">
        <f aca="false">D24*G24</f>
        <v>55000</v>
      </c>
      <c r="I24" s="15"/>
      <c r="J24" s="11" t="s">
        <v>524</v>
      </c>
      <c r="K24" s="10" t="s">
        <v>60</v>
      </c>
      <c r="L24" s="11" t="s">
        <v>525</v>
      </c>
      <c r="M24" s="11" t="s">
        <v>526</v>
      </c>
    </row>
    <row r="25" customFormat="false" ht="23.85" hidden="false" customHeight="false" outlineLevel="0" collapsed="false">
      <c r="A25" s="10" t="n">
        <v>19</v>
      </c>
      <c r="B25" s="11" t="s">
        <v>527</v>
      </c>
      <c r="C25" s="11" t="s">
        <v>528</v>
      </c>
      <c r="D25" s="10" t="n">
        <v>1</v>
      </c>
      <c r="E25" s="12" t="n">
        <v>2500</v>
      </c>
      <c r="F25" s="13" t="n">
        <f aca="false">D25*E25</f>
        <v>2500</v>
      </c>
      <c r="G25" s="14" t="n">
        <v>9000</v>
      </c>
      <c r="H25" s="14" t="n">
        <f aca="false">D25*G25</f>
        <v>9000</v>
      </c>
      <c r="I25" s="15"/>
      <c r="J25" s="11" t="s">
        <v>493</v>
      </c>
      <c r="K25" s="10" t="s">
        <v>86</v>
      </c>
      <c r="L25" s="11" t="s">
        <v>80</v>
      </c>
      <c r="M25" s="11" t="s">
        <v>80</v>
      </c>
    </row>
    <row r="26" customFormat="false" ht="23.85" hidden="false" customHeight="false" outlineLevel="0" collapsed="false">
      <c r="A26" s="10" t="n">
        <v>20</v>
      </c>
      <c r="B26" s="11" t="s">
        <v>529</v>
      </c>
      <c r="C26" s="11" t="s">
        <v>530</v>
      </c>
      <c r="D26" s="10" t="n">
        <v>1</v>
      </c>
      <c r="E26" s="12" t="n">
        <v>1800</v>
      </c>
      <c r="F26" s="13" t="n">
        <f aca="false">D26*E26</f>
        <v>1800</v>
      </c>
      <c r="G26" s="14" t="n">
        <v>9500</v>
      </c>
      <c r="H26" s="14" t="n">
        <f aca="false">D26*G26</f>
        <v>9500</v>
      </c>
      <c r="I26" s="15"/>
      <c r="J26" s="11" t="s">
        <v>151</v>
      </c>
      <c r="K26" s="10" t="s">
        <v>54</v>
      </c>
      <c r="L26" s="11" t="s">
        <v>531</v>
      </c>
      <c r="M26" s="11" t="s">
        <v>532</v>
      </c>
    </row>
    <row r="27" customFormat="false" ht="15" hidden="false" customHeight="false" outlineLevel="0" collapsed="false">
      <c r="A27" s="8" t="s">
        <v>533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35.05" hidden="false" customHeight="false" outlineLevel="0" collapsed="false">
      <c r="A28" s="10" t="n">
        <v>21</v>
      </c>
      <c r="B28" s="11" t="s">
        <v>534</v>
      </c>
      <c r="C28" s="11" t="s">
        <v>535</v>
      </c>
      <c r="D28" s="10" t="n">
        <v>1</v>
      </c>
      <c r="E28" s="12" t="n">
        <v>0</v>
      </c>
      <c r="F28" s="13" t="n">
        <f aca="false">D28*E28</f>
        <v>0</v>
      </c>
      <c r="G28" s="14" t="n">
        <v>180000</v>
      </c>
      <c r="H28" s="14" t="n">
        <f aca="false">D28*G28</f>
        <v>180000</v>
      </c>
      <c r="I28" s="15"/>
      <c r="J28" s="11" t="s">
        <v>358</v>
      </c>
      <c r="K28" s="10" t="s">
        <v>60</v>
      </c>
      <c r="L28" s="11" t="s">
        <v>536</v>
      </c>
      <c r="M28" s="11" t="s">
        <v>537</v>
      </c>
    </row>
    <row r="29" customFormat="false" ht="15" hidden="false" customHeight="false" outlineLevel="0" collapsed="false">
      <c r="A29" s="10" t="n">
        <v>22</v>
      </c>
      <c r="B29" s="11" t="s">
        <v>538</v>
      </c>
      <c r="C29" s="11" t="s">
        <v>539</v>
      </c>
      <c r="D29" s="10" t="n">
        <v>1</v>
      </c>
      <c r="E29" s="12" t="n">
        <v>600</v>
      </c>
      <c r="F29" s="13" t="n">
        <f aca="false">D29*E29</f>
        <v>600</v>
      </c>
      <c r="G29" s="14" t="n">
        <v>3500</v>
      </c>
      <c r="H29" s="14" t="n">
        <f aca="false">D29*G29</f>
        <v>3500</v>
      </c>
      <c r="I29" s="15"/>
      <c r="J29" s="11" t="s">
        <v>151</v>
      </c>
      <c r="K29" s="10" t="s">
        <v>86</v>
      </c>
      <c r="L29" s="11" t="s">
        <v>540</v>
      </c>
      <c r="M29" s="11" t="s">
        <v>80</v>
      </c>
    </row>
    <row r="30" customFormat="false" ht="15" hidden="false" customHeight="false" outlineLevel="0" collapsed="false">
      <c r="B30" s="5" t="s">
        <v>311</v>
      </c>
      <c r="F30" s="16" t="n">
        <f aca="false">SUM(F5:F29)</f>
        <v>45210</v>
      </c>
      <c r="H30" s="17" t="n">
        <f aca="false">SUM(H5:H29)</f>
        <v>604000</v>
      </c>
      <c r="I30" s="18" t="n">
        <f aca="false">SUM(I5:I29)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541</v>
      </c>
    </row>
    <row r="2" customFormat="false" ht="15" hidden="false" customHeight="false" outlineLevel="0" collapsed="false">
      <c r="A2" s="2" t="s">
        <v>542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543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false" outlineLevel="0" collapsed="false">
      <c r="A5" s="10" t="n">
        <v>1</v>
      </c>
      <c r="B5" s="11" t="s">
        <v>544</v>
      </c>
      <c r="C5" s="11" t="s">
        <v>545</v>
      </c>
      <c r="D5" s="10" t="n">
        <v>4</v>
      </c>
      <c r="E5" s="12" t="n">
        <v>135</v>
      </c>
      <c r="F5" s="13" t="n">
        <f aca="false">D5*E5</f>
        <v>540</v>
      </c>
      <c r="G5" s="14" t="n">
        <v>9500</v>
      </c>
      <c r="H5" s="14" t="n">
        <f aca="false">D5*G5</f>
        <v>38000</v>
      </c>
      <c r="I5" s="15"/>
      <c r="J5" s="11" t="s">
        <v>130</v>
      </c>
      <c r="K5" s="10" t="s">
        <v>119</v>
      </c>
      <c r="L5" s="11" t="s">
        <v>546</v>
      </c>
      <c r="M5" s="11" t="s">
        <v>80</v>
      </c>
    </row>
    <row r="6" customFormat="false" ht="15" hidden="false" customHeight="false" outlineLevel="0" collapsed="false">
      <c r="A6" s="10" t="n">
        <v>2</v>
      </c>
      <c r="B6" s="11" t="s">
        <v>547</v>
      </c>
      <c r="C6" s="11" t="s">
        <v>548</v>
      </c>
      <c r="D6" s="10" t="n">
        <v>4</v>
      </c>
      <c r="E6" s="12" t="n">
        <v>45</v>
      </c>
      <c r="F6" s="13" t="n">
        <f aca="false">D6*E6</f>
        <v>180</v>
      </c>
      <c r="G6" s="14" t="n">
        <v>3500</v>
      </c>
      <c r="H6" s="14" t="n">
        <f aca="false">D6*G6</f>
        <v>14000</v>
      </c>
      <c r="I6" s="15"/>
      <c r="J6" s="11" t="s">
        <v>151</v>
      </c>
      <c r="K6" s="10" t="s">
        <v>125</v>
      </c>
      <c r="L6" s="11" t="s">
        <v>549</v>
      </c>
      <c r="M6" s="11" t="s">
        <v>80</v>
      </c>
    </row>
    <row r="7" customFormat="false" ht="23.85" hidden="false" customHeight="false" outlineLevel="0" collapsed="false">
      <c r="A7" s="10" t="n">
        <v>3</v>
      </c>
      <c r="B7" s="11" t="s">
        <v>550</v>
      </c>
      <c r="C7" s="11" t="s">
        <v>551</v>
      </c>
      <c r="D7" s="10" t="n">
        <v>6</v>
      </c>
      <c r="E7" s="12" t="n">
        <v>116</v>
      </c>
      <c r="F7" s="13" t="n">
        <f aca="false">D7*E7</f>
        <v>696</v>
      </c>
      <c r="G7" s="14" t="n">
        <v>2800</v>
      </c>
      <c r="H7" s="14" t="n">
        <f aca="false">D7*G7</f>
        <v>16800</v>
      </c>
      <c r="I7" s="15"/>
      <c r="J7" s="11" t="s">
        <v>130</v>
      </c>
      <c r="K7" s="10" t="s">
        <v>131</v>
      </c>
      <c r="L7" s="11" t="s">
        <v>552</v>
      </c>
      <c r="M7" s="11" t="s">
        <v>80</v>
      </c>
    </row>
    <row r="8" customFormat="false" ht="23.85" hidden="false" customHeight="false" outlineLevel="0" collapsed="false">
      <c r="A8" s="10" t="n">
        <v>4</v>
      </c>
      <c r="B8" s="11" t="s">
        <v>553</v>
      </c>
      <c r="C8" s="11" t="s">
        <v>554</v>
      </c>
      <c r="D8" s="10" t="n">
        <v>4</v>
      </c>
      <c r="E8" s="12" t="n">
        <v>162</v>
      </c>
      <c r="F8" s="13" t="n">
        <f aca="false">D8*E8</f>
        <v>648</v>
      </c>
      <c r="G8" s="14" t="n">
        <v>2550</v>
      </c>
      <c r="H8" s="14" t="n">
        <f aca="false">D8*G8</f>
        <v>10200</v>
      </c>
      <c r="I8" s="15"/>
      <c r="J8" s="11" t="s">
        <v>253</v>
      </c>
      <c r="K8" s="10" t="s">
        <v>54</v>
      </c>
      <c r="L8" s="11" t="s">
        <v>555</v>
      </c>
      <c r="M8" s="11" t="s">
        <v>80</v>
      </c>
    </row>
    <row r="9" customFormat="false" ht="23.85" hidden="false" customHeight="false" outlineLevel="0" collapsed="false">
      <c r="A9" s="10" t="n">
        <v>5</v>
      </c>
      <c r="B9" s="11" t="s">
        <v>556</v>
      </c>
      <c r="C9" s="11" t="s">
        <v>557</v>
      </c>
      <c r="D9" s="10" t="n">
        <v>1</v>
      </c>
      <c r="E9" s="12" t="n">
        <v>45</v>
      </c>
      <c r="F9" s="13" t="n">
        <f aca="false">D9*E9</f>
        <v>45</v>
      </c>
      <c r="G9" s="14" t="n">
        <v>28000</v>
      </c>
      <c r="H9" s="14" t="n">
        <f aca="false">D9*G9</f>
        <v>28000</v>
      </c>
      <c r="I9" s="15"/>
      <c r="J9" s="11" t="s">
        <v>224</v>
      </c>
      <c r="K9" s="10" t="s">
        <v>125</v>
      </c>
      <c r="L9" s="11" t="s">
        <v>558</v>
      </c>
      <c r="M9" s="11" t="s">
        <v>80</v>
      </c>
    </row>
    <row r="10" customFormat="false" ht="15" hidden="false" customHeight="false" outlineLevel="0" collapsed="false">
      <c r="A10" s="10" t="n">
        <v>6</v>
      </c>
      <c r="B10" s="11" t="s">
        <v>559</v>
      </c>
      <c r="C10" s="11" t="s">
        <v>560</v>
      </c>
      <c r="D10" s="10" t="n">
        <v>1</v>
      </c>
      <c r="E10" s="12" t="n">
        <v>90</v>
      </c>
      <c r="F10" s="13" t="n">
        <f aca="false">D10*E10</f>
        <v>90</v>
      </c>
      <c r="G10" s="14" t="n">
        <v>32000</v>
      </c>
      <c r="H10" s="14" t="n">
        <f aca="false">D10*G10</f>
        <v>32000</v>
      </c>
      <c r="I10" s="15"/>
      <c r="J10" s="11" t="s">
        <v>224</v>
      </c>
      <c r="K10" s="10" t="s">
        <v>131</v>
      </c>
      <c r="L10" s="11" t="s">
        <v>80</v>
      </c>
      <c r="M10" s="11" t="s">
        <v>561</v>
      </c>
    </row>
    <row r="11" customFormat="false" ht="23.85" hidden="false" customHeight="false" outlineLevel="0" collapsed="false">
      <c r="A11" s="10" t="n">
        <v>7</v>
      </c>
      <c r="B11" s="11" t="s">
        <v>562</v>
      </c>
      <c r="C11" s="11" t="s">
        <v>563</v>
      </c>
      <c r="D11" s="10" t="n">
        <v>1</v>
      </c>
      <c r="E11" s="12" t="n">
        <v>185</v>
      </c>
      <c r="F11" s="13" t="n">
        <f aca="false">D11*E11</f>
        <v>185</v>
      </c>
      <c r="G11" s="14" t="n">
        <v>52000</v>
      </c>
      <c r="H11" s="14" t="n">
        <f aca="false">D11*G11</f>
        <v>52000</v>
      </c>
      <c r="I11" s="15"/>
      <c r="J11" s="11" t="s">
        <v>564</v>
      </c>
      <c r="K11" s="10" t="s">
        <v>234</v>
      </c>
      <c r="L11" s="11" t="s">
        <v>565</v>
      </c>
      <c r="M11" s="11" t="s">
        <v>80</v>
      </c>
    </row>
    <row r="12" customFormat="false" ht="23.85" hidden="false" customHeight="false" outlineLevel="0" collapsed="false">
      <c r="A12" s="10" t="n">
        <v>8</v>
      </c>
      <c r="B12" s="11" t="s">
        <v>566</v>
      </c>
      <c r="C12" s="11" t="s">
        <v>567</v>
      </c>
      <c r="D12" s="10" t="n">
        <v>1</v>
      </c>
      <c r="E12" s="12" t="n">
        <v>100</v>
      </c>
      <c r="F12" s="13" t="n">
        <f aca="false">D12*E12</f>
        <v>100</v>
      </c>
      <c r="G12" s="14" t="n">
        <v>11800</v>
      </c>
      <c r="H12" s="14" t="n">
        <f aca="false">D12*G12</f>
        <v>11800</v>
      </c>
      <c r="I12" s="15"/>
      <c r="J12" s="11" t="s">
        <v>243</v>
      </c>
      <c r="K12" s="10" t="s">
        <v>171</v>
      </c>
      <c r="L12" s="11" t="s">
        <v>568</v>
      </c>
      <c r="M12" s="11" t="s">
        <v>80</v>
      </c>
    </row>
    <row r="13" customFormat="false" ht="23.85" hidden="false" customHeight="false" outlineLevel="0" collapsed="false">
      <c r="A13" s="10" t="n">
        <v>9</v>
      </c>
      <c r="B13" s="11" t="s">
        <v>569</v>
      </c>
      <c r="C13" s="11" t="s">
        <v>570</v>
      </c>
      <c r="D13" s="10" t="n">
        <v>3</v>
      </c>
      <c r="E13" s="12" t="n">
        <v>1449</v>
      </c>
      <c r="F13" s="13" t="n">
        <f aca="false">D13*E13</f>
        <v>4347</v>
      </c>
      <c r="G13" s="14" t="n">
        <v>22000</v>
      </c>
      <c r="H13" s="14" t="n">
        <f aca="false">D13*G13</f>
        <v>66000</v>
      </c>
      <c r="I13" s="15"/>
      <c r="J13" s="11" t="s">
        <v>571</v>
      </c>
      <c r="K13" s="10" t="s">
        <v>131</v>
      </c>
      <c r="L13" s="11" t="s">
        <v>572</v>
      </c>
      <c r="M13" s="11" t="s">
        <v>80</v>
      </c>
    </row>
    <row r="14" customFormat="false" ht="35.05" hidden="false" customHeight="false" outlineLevel="0" collapsed="false">
      <c r="A14" s="10" t="n">
        <v>10</v>
      </c>
      <c r="B14" s="11" t="s">
        <v>573</v>
      </c>
      <c r="C14" s="11" t="s">
        <v>574</v>
      </c>
      <c r="D14" s="10" t="n">
        <v>1</v>
      </c>
      <c r="E14" s="12" t="n">
        <v>5710</v>
      </c>
      <c r="F14" s="13" t="n">
        <f aca="false">D14*E14</f>
        <v>5710</v>
      </c>
      <c r="G14" s="14" t="n">
        <v>185000</v>
      </c>
      <c r="H14" s="14" t="n">
        <f aca="false">D14*G14</f>
        <v>185000</v>
      </c>
      <c r="I14" s="15"/>
      <c r="J14" s="11" t="s">
        <v>253</v>
      </c>
      <c r="K14" s="10" t="s">
        <v>575</v>
      </c>
      <c r="L14" s="11" t="s">
        <v>576</v>
      </c>
      <c r="M14" s="11" t="s">
        <v>577</v>
      </c>
    </row>
    <row r="15" customFormat="false" ht="15" hidden="false" customHeight="false" outlineLevel="0" collapsed="false">
      <c r="A15" s="8" t="s">
        <v>578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23.85" hidden="false" customHeight="false" outlineLevel="0" collapsed="false">
      <c r="A16" s="10" t="n">
        <v>11</v>
      </c>
      <c r="B16" s="11" t="s">
        <v>579</v>
      </c>
      <c r="C16" s="11" t="s">
        <v>580</v>
      </c>
      <c r="D16" s="10" t="n">
        <v>2</v>
      </c>
      <c r="E16" s="12" t="n">
        <v>50</v>
      </c>
      <c r="F16" s="13" t="n">
        <f aca="false">D16*E16</f>
        <v>100</v>
      </c>
      <c r="G16" s="14" t="n">
        <v>900</v>
      </c>
      <c r="H16" s="14" t="n">
        <f aca="false">D16*G16</f>
        <v>1800</v>
      </c>
      <c r="I16" s="15"/>
      <c r="J16" s="11" t="s">
        <v>156</v>
      </c>
      <c r="K16" s="10" t="s">
        <v>86</v>
      </c>
      <c r="L16" s="11" t="s">
        <v>581</v>
      </c>
      <c r="M16" s="11" t="s">
        <v>80</v>
      </c>
    </row>
    <row r="17" customFormat="false" ht="15" hidden="false" customHeight="false" outlineLevel="0" collapsed="false">
      <c r="A17" s="10" t="n">
        <v>12</v>
      </c>
      <c r="B17" s="11" t="s">
        <v>582</v>
      </c>
      <c r="C17" s="11" t="s">
        <v>583</v>
      </c>
      <c r="D17" s="10" t="n">
        <v>1</v>
      </c>
      <c r="E17" s="12" t="n">
        <v>400</v>
      </c>
      <c r="F17" s="13" t="n">
        <f aca="false">D17*E17</f>
        <v>400</v>
      </c>
      <c r="G17" s="14" t="n">
        <v>1800</v>
      </c>
      <c r="H17" s="14" t="n">
        <f aca="false">D17*G17</f>
        <v>1800</v>
      </c>
      <c r="I17" s="15"/>
      <c r="J17" s="11" t="s">
        <v>156</v>
      </c>
      <c r="K17" s="10" t="s">
        <v>86</v>
      </c>
      <c r="L17" s="11" t="s">
        <v>80</v>
      </c>
      <c r="M17" s="11" t="s">
        <v>80</v>
      </c>
    </row>
    <row r="18" customFormat="false" ht="15" hidden="false" customHeight="false" outlineLevel="0" collapsed="false">
      <c r="A18" s="10" t="n">
        <v>13</v>
      </c>
      <c r="B18" s="11" t="s">
        <v>584</v>
      </c>
      <c r="C18" s="11" t="s">
        <v>585</v>
      </c>
      <c r="D18" s="10" t="n">
        <v>1</v>
      </c>
      <c r="E18" s="12" t="n">
        <v>200</v>
      </c>
      <c r="F18" s="13" t="n">
        <f aca="false">D18*E18</f>
        <v>200</v>
      </c>
      <c r="G18" s="14" t="n">
        <v>900</v>
      </c>
      <c r="H18" s="14" t="n">
        <f aca="false">D18*G18</f>
        <v>900</v>
      </c>
      <c r="I18" s="15"/>
      <c r="J18" s="11" t="s">
        <v>156</v>
      </c>
      <c r="K18" s="10" t="s">
        <v>86</v>
      </c>
      <c r="L18" s="11" t="s">
        <v>80</v>
      </c>
      <c r="M18" s="11" t="s">
        <v>80</v>
      </c>
    </row>
    <row r="19" customFormat="false" ht="23.85" hidden="false" customHeight="false" outlineLevel="0" collapsed="false">
      <c r="A19" s="10" t="n">
        <v>14</v>
      </c>
      <c r="B19" s="11" t="s">
        <v>586</v>
      </c>
      <c r="C19" s="11" t="s">
        <v>587</v>
      </c>
      <c r="D19" s="10" t="n">
        <v>1</v>
      </c>
      <c r="E19" s="12" t="n">
        <v>300</v>
      </c>
      <c r="F19" s="13" t="n">
        <f aca="false">D19*E19</f>
        <v>300</v>
      </c>
      <c r="G19" s="14" t="n">
        <v>700</v>
      </c>
      <c r="H19" s="14" t="n">
        <f aca="false">D19*G19</f>
        <v>700</v>
      </c>
      <c r="I19" s="15"/>
      <c r="J19" s="11" t="s">
        <v>156</v>
      </c>
      <c r="K19" s="10" t="s">
        <v>86</v>
      </c>
      <c r="L19" s="11" t="s">
        <v>80</v>
      </c>
      <c r="M19" s="11" t="s">
        <v>80</v>
      </c>
    </row>
    <row r="20" customFormat="false" ht="15" hidden="false" customHeight="false" outlineLevel="0" collapsed="false">
      <c r="A20" s="10" t="n">
        <v>15</v>
      </c>
      <c r="B20" s="11" t="s">
        <v>588</v>
      </c>
      <c r="C20" s="11" t="s">
        <v>589</v>
      </c>
      <c r="D20" s="10" t="n">
        <v>1</v>
      </c>
      <c r="E20" s="12" t="n">
        <v>120</v>
      </c>
      <c r="F20" s="13" t="n">
        <f aca="false">D20*E20</f>
        <v>120</v>
      </c>
      <c r="G20" s="14" t="n">
        <v>800</v>
      </c>
      <c r="H20" s="14" t="n">
        <f aca="false">D20*G20</f>
        <v>800</v>
      </c>
      <c r="I20" s="15"/>
      <c r="J20" s="11" t="s">
        <v>156</v>
      </c>
      <c r="K20" s="10" t="s">
        <v>86</v>
      </c>
      <c r="L20" s="11" t="s">
        <v>590</v>
      </c>
      <c r="M20" s="11" t="s">
        <v>80</v>
      </c>
    </row>
    <row r="21" customFormat="false" ht="15" hidden="false" customHeight="false" outlineLevel="0" collapsed="false">
      <c r="A21" s="10" t="n">
        <v>16</v>
      </c>
      <c r="B21" s="11" t="s">
        <v>591</v>
      </c>
      <c r="C21" s="11" t="s">
        <v>592</v>
      </c>
      <c r="D21" s="10" t="n">
        <v>1</v>
      </c>
      <c r="E21" s="12" t="n">
        <v>150</v>
      </c>
      <c r="F21" s="13" t="n">
        <f aca="false">D21*E21</f>
        <v>150</v>
      </c>
      <c r="G21" s="14" t="n">
        <v>1200</v>
      </c>
      <c r="H21" s="14" t="n">
        <f aca="false">D21*G21</f>
        <v>1200</v>
      </c>
      <c r="I21" s="15"/>
      <c r="J21" s="11" t="s">
        <v>156</v>
      </c>
      <c r="K21" s="10" t="s">
        <v>86</v>
      </c>
      <c r="L21" s="11" t="s">
        <v>80</v>
      </c>
      <c r="M21" s="11" t="s">
        <v>80</v>
      </c>
    </row>
    <row r="22" customFormat="false" ht="23.85" hidden="false" customHeight="false" outlineLevel="0" collapsed="false">
      <c r="A22" s="10" t="n">
        <v>17</v>
      </c>
      <c r="B22" s="11" t="s">
        <v>593</v>
      </c>
      <c r="C22" s="11" t="s">
        <v>594</v>
      </c>
      <c r="D22" s="10" t="n">
        <v>1</v>
      </c>
      <c r="E22" s="12" t="n">
        <v>500</v>
      </c>
      <c r="F22" s="13" t="n">
        <f aca="false">D22*E22</f>
        <v>500</v>
      </c>
      <c r="G22" s="14" t="n">
        <v>1800</v>
      </c>
      <c r="H22" s="14" t="n">
        <f aca="false">D22*G22</f>
        <v>1800</v>
      </c>
      <c r="I22" s="15"/>
      <c r="J22" s="11" t="s">
        <v>156</v>
      </c>
      <c r="K22" s="10" t="s">
        <v>86</v>
      </c>
      <c r="L22" s="11" t="s">
        <v>595</v>
      </c>
      <c r="M22" s="11" t="s">
        <v>596</v>
      </c>
    </row>
    <row r="23" customFormat="false" ht="15" hidden="false" customHeight="false" outlineLevel="0" collapsed="false">
      <c r="A23" s="10" t="n">
        <v>18</v>
      </c>
      <c r="B23" s="11" t="s">
        <v>597</v>
      </c>
      <c r="C23" s="11" t="s">
        <v>598</v>
      </c>
      <c r="D23" s="10" t="n">
        <v>1</v>
      </c>
      <c r="E23" s="12" t="n">
        <v>5000</v>
      </c>
      <c r="F23" s="13" t="n">
        <f aca="false">D23*E23</f>
        <v>5000</v>
      </c>
      <c r="G23" s="14" t="n">
        <v>9000</v>
      </c>
      <c r="H23" s="14" t="n">
        <f aca="false">D23*G23</f>
        <v>9000</v>
      </c>
      <c r="I23" s="15"/>
      <c r="J23" s="11" t="s">
        <v>151</v>
      </c>
      <c r="K23" s="10" t="s">
        <v>54</v>
      </c>
      <c r="L23" s="11" t="s">
        <v>599</v>
      </c>
      <c r="M23" s="11" t="s">
        <v>80</v>
      </c>
    </row>
    <row r="24" customFormat="false" ht="23.85" hidden="false" customHeight="false" outlineLevel="0" collapsed="false">
      <c r="A24" s="10" t="n">
        <v>19</v>
      </c>
      <c r="B24" s="11" t="s">
        <v>600</v>
      </c>
      <c r="C24" s="11" t="s">
        <v>601</v>
      </c>
      <c r="D24" s="10" t="n">
        <v>2</v>
      </c>
      <c r="E24" s="12" t="n">
        <v>900</v>
      </c>
      <c r="F24" s="13" t="n">
        <f aca="false">D24*E24</f>
        <v>1800</v>
      </c>
      <c r="G24" s="14" t="n">
        <v>7500</v>
      </c>
      <c r="H24" s="14" t="n">
        <f aca="false">D24*G24</f>
        <v>15000</v>
      </c>
      <c r="I24" s="15"/>
      <c r="J24" s="11" t="s">
        <v>602</v>
      </c>
      <c r="K24" s="10" t="s">
        <v>60</v>
      </c>
      <c r="L24" s="11" t="s">
        <v>603</v>
      </c>
      <c r="M24" s="11" t="s">
        <v>80</v>
      </c>
    </row>
    <row r="25" customFormat="false" ht="15" hidden="false" customHeight="false" outlineLevel="0" collapsed="false">
      <c r="A25" s="10" t="n">
        <v>20</v>
      </c>
      <c r="B25" s="11" t="s">
        <v>604</v>
      </c>
      <c r="C25" s="11" t="s">
        <v>605</v>
      </c>
      <c r="D25" s="10" t="n">
        <v>1</v>
      </c>
      <c r="E25" s="12" t="n">
        <v>250</v>
      </c>
      <c r="F25" s="13" t="n">
        <f aca="false">D25*E25</f>
        <v>250</v>
      </c>
      <c r="G25" s="14" t="n">
        <v>800</v>
      </c>
      <c r="H25" s="14" t="n">
        <f aca="false">D25*G25</f>
        <v>800</v>
      </c>
      <c r="I25" s="15"/>
      <c r="J25" s="11" t="s">
        <v>156</v>
      </c>
      <c r="K25" s="10" t="s">
        <v>86</v>
      </c>
      <c r="L25" s="11" t="s">
        <v>80</v>
      </c>
      <c r="M25" s="11" t="s">
        <v>80</v>
      </c>
    </row>
    <row r="26" customFormat="false" ht="15" hidden="false" customHeight="false" outlineLevel="0" collapsed="false">
      <c r="A26" s="10" t="n">
        <v>21</v>
      </c>
      <c r="B26" s="11" t="s">
        <v>606</v>
      </c>
      <c r="C26" s="11" t="s">
        <v>607</v>
      </c>
      <c r="D26" s="10" t="n">
        <v>1</v>
      </c>
      <c r="E26" s="12" t="n">
        <v>600</v>
      </c>
      <c r="F26" s="13" t="n">
        <f aca="false">D26*E26</f>
        <v>600</v>
      </c>
      <c r="G26" s="14" t="n">
        <v>1800</v>
      </c>
      <c r="H26" s="14" t="n">
        <f aca="false">D26*G26</f>
        <v>1800</v>
      </c>
      <c r="I26" s="15"/>
      <c r="J26" s="11" t="s">
        <v>156</v>
      </c>
      <c r="K26" s="10" t="s">
        <v>86</v>
      </c>
      <c r="L26" s="11" t="s">
        <v>608</v>
      </c>
      <c r="M26" s="11" t="s">
        <v>80</v>
      </c>
    </row>
    <row r="27" customFormat="false" ht="15" hidden="false" customHeight="false" outlineLevel="0" collapsed="false">
      <c r="A27" s="10" t="n">
        <v>22</v>
      </c>
      <c r="B27" s="11" t="s">
        <v>609</v>
      </c>
      <c r="C27" s="11" t="s">
        <v>610</v>
      </c>
      <c r="D27" s="10" t="n">
        <v>1</v>
      </c>
      <c r="E27" s="12" t="n">
        <v>1200</v>
      </c>
      <c r="F27" s="13" t="n">
        <f aca="false">D27*E27</f>
        <v>1200</v>
      </c>
      <c r="G27" s="14" t="n">
        <v>1500</v>
      </c>
      <c r="H27" s="14" t="n">
        <f aca="false">D27*G27</f>
        <v>1500</v>
      </c>
      <c r="I27" s="15"/>
      <c r="J27" s="11" t="s">
        <v>156</v>
      </c>
      <c r="K27" s="10" t="s">
        <v>86</v>
      </c>
      <c r="L27" s="11" t="s">
        <v>611</v>
      </c>
      <c r="M27" s="11" t="s">
        <v>80</v>
      </c>
    </row>
    <row r="28" customFormat="false" ht="15" hidden="false" customHeight="false" outlineLevel="0" collapsed="false">
      <c r="B28" s="5" t="s">
        <v>311</v>
      </c>
      <c r="F28" s="16" t="n">
        <f aca="false">SUM(F5:F27)</f>
        <v>23161</v>
      </c>
      <c r="H28" s="17" t="n">
        <f aca="false">SUM(H5:H27)</f>
        <v>490900</v>
      </c>
      <c r="I28" s="18" t="n">
        <f aca="false">SUM(I5:I27)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8" min="7" style="0" width="1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1"/>
    <col collapsed="false" customWidth="true" hidden="false" outlineLevel="0" max="12" min="12" style="0" width="58"/>
    <col collapsed="false" customWidth="true" hidden="false" outlineLevel="0" max="13" min="13" style="0" width="34"/>
  </cols>
  <sheetData>
    <row r="1" customFormat="false" ht="17.35" hidden="false" customHeight="false" outlineLevel="0" collapsed="false">
      <c r="A1" s="1" t="s">
        <v>612</v>
      </c>
    </row>
    <row r="2" customFormat="false" ht="15" hidden="false" customHeight="false" outlineLevel="0" collapsed="false">
      <c r="A2" s="2" t="s">
        <v>613</v>
      </c>
    </row>
    <row r="3" customFormat="false" ht="26.85" hidden="false" customHeight="fals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7" t="s">
        <v>44</v>
      </c>
      <c r="I3" s="7" t="s">
        <v>45</v>
      </c>
      <c r="J3" s="7" t="s">
        <v>46</v>
      </c>
      <c r="K3" s="7" t="s">
        <v>47</v>
      </c>
      <c r="L3" s="7" t="s">
        <v>48</v>
      </c>
      <c r="M3" s="7" t="s">
        <v>49</v>
      </c>
    </row>
    <row r="4" customFormat="false" ht="15" hidden="false" customHeight="false" outlineLevel="0" collapsed="false">
      <c r="A4" s="8" t="s">
        <v>614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23.85" hidden="false" customHeight="false" outlineLevel="0" collapsed="false">
      <c r="A5" s="10" t="n">
        <v>1</v>
      </c>
      <c r="B5" s="11" t="s">
        <v>615</v>
      </c>
      <c r="C5" s="11" t="s">
        <v>616</v>
      </c>
      <c r="D5" s="10" t="n">
        <v>1</v>
      </c>
      <c r="E5" s="12" t="n">
        <v>0</v>
      </c>
      <c r="F5" s="13" t="n">
        <f aca="false">D5*E5</f>
        <v>0</v>
      </c>
      <c r="G5" s="14" t="n">
        <v>0</v>
      </c>
      <c r="H5" s="14" t="n">
        <f aca="false">D5*G5</f>
        <v>0</v>
      </c>
      <c r="I5" s="15"/>
      <c r="J5" s="11" t="s">
        <v>617</v>
      </c>
      <c r="K5" s="10" t="s">
        <v>80</v>
      </c>
      <c r="L5" s="11" t="s">
        <v>618</v>
      </c>
      <c r="M5" s="11" t="s">
        <v>80</v>
      </c>
    </row>
    <row r="6" customFormat="false" ht="15" hidden="false" customHeight="false" outlineLevel="0" collapsed="false">
      <c r="A6" s="10" t="n">
        <v>2</v>
      </c>
      <c r="B6" s="11" t="s">
        <v>619</v>
      </c>
      <c r="C6" s="11" t="s">
        <v>620</v>
      </c>
      <c r="D6" s="10" t="n">
        <v>1</v>
      </c>
      <c r="E6" s="12" t="n">
        <v>0</v>
      </c>
      <c r="F6" s="13" t="n">
        <f aca="false">D6*E6</f>
        <v>0</v>
      </c>
      <c r="G6" s="14" t="n">
        <v>0</v>
      </c>
      <c r="H6" s="14" t="n">
        <f aca="false">D6*G6</f>
        <v>0</v>
      </c>
      <c r="I6" s="15"/>
      <c r="J6" s="11" t="s">
        <v>621</v>
      </c>
      <c r="K6" s="10" t="s">
        <v>80</v>
      </c>
      <c r="L6" s="11" t="s">
        <v>622</v>
      </c>
      <c r="M6" s="11" t="s">
        <v>623</v>
      </c>
    </row>
    <row r="7" customFormat="false" ht="15" hidden="false" customHeight="false" outlineLevel="0" collapsed="false">
      <c r="A7" s="10" t="n">
        <v>3</v>
      </c>
      <c r="B7" s="11" t="s">
        <v>624</v>
      </c>
      <c r="C7" s="11" t="s">
        <v>625</v>
      </c>
      <c r="D7" s="10" t="n">
        <v>1</v>
      </c>
      <c r="E7" s="12" t="n">
        <v>0</v>
      </c>
      <c r="F7" s="13" t="n">
        <f aca="false">D7*E7</f>
        <v>0</v>
      </c>
      <c r="G7" s="14" t="n">
        <v>0</v>
      </c>
      <c r="H7" s="14" t="n">
        <f aca="false">D7*G7</f>
        <v>0</v>
      </c>
      <c r="I7" s="15"/>
      <c r="J7" s="11" t="s">
        <v>626</v>
      </c>
      <c r="K7" s="10" t="s">
        <v>80</v>
      </c>
      <c r="L7" s="11" t="s">
        <v>627</v>
      </c>
      <c r="M7" s="11" t="s">
        <v>80</v>
      </c>
    </row>
    <row r="8" customFormat="false" ht="23.85" hidden="false" customHeight="false" outlineLevel="0" collapsed="false">
      <c r="A8" s="10" t="n">
        <v>4</v>
      </c>
      <c r="B8" s="11" t="s">
        <v>628</v>
      </c>
      <c r="C8" s="11" t="s">
        <v>629</v>
      </c>
      <c r="D8" s="10" t="n">
        <v>1</v>
      </c>
      <c r="E8" s="12" t="n">
        <v>0</v>
      </c>
      <c r="F8" s="13" t="n">
        <f aca="false">D8*E8</f>
        <v>0</v>
      </c>
      <c r="G8" s="14" t="n">
        <v>0</v>
      </c>
      <c r="H8" s="14" t="n">
        <f aca="false">D8*G8</f>
        <v>0</v>
      </c>
      <c r="I8" s="15"/>
      <c r="J8" s="11" t="s">
        <v>626</v>
      </c>
      <c r="K8" s="10" t="s">
        <v>80</v>
      </c>
      <c r="L8" s="11" t="s">
        <v>630</v>
      </c>
      <c r="M8" s="11" t="s">
        <v>80</v>
      </c>
    </row>
    <row r="9" customFormat="false" ht="23.85" hidden="false" customHeight="false" outlineLevel="0" collapsed="false">
      <c r="A9" s="10" t="n">
        <v>5</v>
      </c>
      <c r="B9" s="11" t="s">
        <v>631</v>
      </c>
      <c r="C9" s="11" t="s">
        <v>632</v>
      </c>
      <c r="D9" s="10" t="n">
        <v>1</v>
      </c>
      <c r="E9" s="12" t="n">
        <v>0</v>
      </c>
      <c r="F9" s="13" t="n">
        <f aca="false">D9*E9</f>
        <v>0</v>
      </c>
      <c r="G9" s="14" t="n">
        <v>0</v>
      </c>
      <c r="H9" s="14" t="n">
        <f aca="false">D9*G9</f>
        <v>0</v>
      </c>
      <c r="I9" s="15"/>
      <c r="J9" s="11" t="s">
        <v>633</v>
      </c>
      <c r="K9" s="10" t="s">
        <v>80</v>
      </c>
      <c r="L9" s="11" t="s">
        <v>634</v>
      </c>
      <c r="M9" s="11" t="s">
        <v>635</v>
      </c>
    </row>
    <row r="10" customFormat="false" ht="23.85" hidden="false" customHeight="false" outlineLevel="0" collapsed="false">
      <c r="A10" s="10" t="n">
        <v>6</v>
      </c>
      <c r="B10" s="11" t="s">
        <v>636</v>
      </c>
      <c r="C10" s="11" t="s">
        <v>637</v>
      </c>
      <c r="D10" s="10" t="n">
        <v>1</v>
      </c>
      <c r="E10" s="12" t="n">
        <v>0</v>
      </c>
      <c r="F10" s="13" t="n">
        <f aca="false">D10*E10</f>
        <v>0</v>
      </c>
      <c r="G10" s="14" t="n">
        <v>0</v>
      </c>
      <c r="H10" s="14" t="n">
        <f aca="false">D10*G10</f>
        <v>0</v>
      </c>
      <c r="I10" s="15"/>
      <c r="J10" s="11" t="s">
        <v>638</v>
      </c>
      <c r="K10" s="10" t="s">
        <v>80</v>
      </c>
      <c r="L10" s="11" t="s">
        <v>639</v>
      </c>
      <c r="M10" s="11" t="s">
        <v>640</v>
      </c>
    </row>
    <row r="11" customFormat="false" ht="23.85" hidden="false" customHeight="false" outlineLevel="0" collapsed="false">
      <c r="A11" s="10" t="n">
        <v>7</v>
      </c>
      <c r="B11" s="11" t="s">
        <v>641</v>
      </c>
      <c r="C11" s="11" t="s">
        <v>642</v>
      </c>
      <c r="D11" s="10" t="n">
        <v>1</v>
      </c>
      <c r="E11" s="12" t="n">
        <v>0</v>
      </c>
      <c r="F11" s="13" t="n">
        <f aca="false">D11*E11</f>
        <v>0</v>
      </c>
      <c r="G11" s="14" t="n">
        <v>0</v>
      </c>
      <c r="H11" s="14" t="n">
        <f aca="false">D11*G11</f>
        <v>0</v>
      </c>
      <c r="I11" s="15"/>
      <c r="J11" s="11" t="s">
        <v>626</v>
      </c>
      <c r="K11" s="10" t="s">
        <v>80</v>
      </c>
      <c r="L11" s="11" t="s">
        <v>643</v>
      </c>
      <c r="M11" s="11" t="s">
        <v>644</v>
      </c>
    </row>
    <row r="12" customFormat="false" ht="23.85" hidden="false" customHeight="false" outlineLevel="0" collapsed="false">
      <c r="A12" s="10" t="n">
        <v>8</v>
      </c>
      <c r="B12" s="11" t="s">
        <v>645</v>
      </c>
      <c r="C12" s="11" t="s">
        <v>646</v>
      </c>
      <c r="D12" s="10" t="n">
        <v>1</v>
      </c>
      <c r="E12" s="12" t="n">
        <v>0</v>
      </c>
      <c r="F12" s="13" t="n">
        <f aca="false">D12*E12</f>
        <v>0</v>
      </c>
      <c r="G12" s="14" t="n">
        <v>0</v>
      </c>
      <c r="H12" s="14" t="n">
        <f aca="false">D12*G12</f>
        <v>0</v>
      </c>
      <c r="I12" s="15"/>
      <c r="J12" s="11" t="s">
        <v>626</v>
      </c>
      <c r="K12" s="10" t="s">
        <v>80</v>
      </c>
      <c r="L12" s="11" t="s">
        <v>647</v>
      </c>
      <c r="M12" s="11" t="s">
        <v>648</v>
      </c>
    </row>
    <row r="13" customFormat="false" ht="15" hidden="false" customHeight="false" outlineLevel="0" collapsed="false">
      <c r="A13" s="8" t="s">
        <v>649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23.85" hidden="false" customHeight="false" outlineLevel="0" collapsed="false">
      <c r="A14" s="10" t="n">
        <v>9</v>
      </c>
      <c r="B14" s="11" t="s">
        <v>650</v>
      </c>
      <c r="C14" s="11" t="s">
        <v>651</v>
      </c>
      <c r="D14" s="10" t="n">
        <v>1</v>
      </c>
      <c r="E14" s="12" t="n">
        <v>0</v>
      </c>
      <c r="F14" s="13" t="n">
        <f aca="false">D14*E14</f>
        <v>0</v>
      </c>
      <c r="G14" s="14" t="n">
        <v>0</v>
      </c>
      <c r="H14" s="14" t="n">
        <f aca="false">D14*G14</f>
        <v>0</v>
      </c>
      <c r="I14" s="15"/>
      <c r="J14" s="11" t="s">
        <v>652</v>
      </c>
      <c r="K14" s="10" t="s">
        <v>80</v>
      </c>
      <c r="L14" s="11" t="s">
        <v>653</v>
      </c>
      <c r="M14" s="11" t="s">
        <v>654</v>
      </c>
    </row>
    <row r="15" customFormat="false" ht="23.85" hidden="false" customHeight="false" outlineLevel="0" collapsed="false">
      <c r="A15" s="10" t="n">
        <v>10</v>
      </c>
      <c r="B15" s="11" t="s">
        <v>655</v>
      </c>
      <c r="C15" s="11" t="s">
        <v>656</v>
      </c>
      <c r="D15" s="10" t="n">
        <v>1</v>
      </c>
      <c r="E15" s="12" t="n">
        <v>0</v>
      </c>
      <c r="F15" s="13" t="n">
        <f aca="false">D15*E15</f>
        <v>0</v>
      </c>
      <c r="G15" s="14" t="n">
        <v>0</v>
      </c>
      <c r="H15" s="14" t="n">
        <f aca="false">D15*G15</f>
        <v>0</v>
      </c>
      <c r="I15" s="15"/>
      <c r="J15" s="11" t="s">
        <v>564</v>
      </c>
      <c r="K15" s="10" t="s">
        <v>80</v>
      </c>
      <c r="L15" s="11" t="s">
        <v>657</v>
      </c>
      <c r="M15" s="11" t="s">
        <v>658</v>
      </c>
    </row>
    <row r="16" customFormat="false" ht="23.85" hidden="false" customHeight="false" outlineLevel="0" collapsed="false">
      <c r="A16" s="10" t="n">
        <v>11</v>
      </c>
      <c r="B16" s="11" t="s">
        <v>659</v>
      </c>
      <c r="C16" s="11" t="s">
        <v>660</v>
      </c>
      <c r="D16" s="10" t="n">
        <v>1</v>
      </c>
      <c r="E16" s="12" t="n">
        <v>0</v>
      </c>
      <c r="F16" s="13" t="n">
        <f aca="false">D16*E16</f>
        <v>0</v>
      </c>
      <c r="G16" s="14" t="n">
        <v>0</v>
      </c>
      <c r="H16" s="14" t="n">
        <f aca="false">D16*G16</f>
        <v>0</v>
      </c>
      <c r="I16" s="15"/>
      <c r="J16" s="11" t="s">
        <v>626</v>
      </c>
      <c r="K16" s="10" t="s">
        <v>80</v>
      </c>
      <c r="L16" s="11" t="s">
        <v>661</v>
      </c>
      <c r="M16" s="11" t="s">
        <v>662</v>
      </c>
    </row>
    <row r="17" customFormat="false" ht="23.85" hidden="false" customHeight="false" outlineLevel="0" collapsed="false">
      <c r="A17" s="10" t="n">
        <v>12</v>
      </c>
      <c r="B17" s="11" t="s">
        <v>663</v>
      </c>
      <c r="C17" s="11" t="s">
        <v>664</v>
      </c>
      <c r="D17" s="10" t="n">
        <v>1</v>
      </c>
      <c r="E17" s="12" t="n">
        <v>0</v>
      </c>
      <c r="F17" s="13" t="n">
        <f aca="false">D17*E17</f>
        <v>0</v>
      </c>
      <c r="G17" s="14" t="n">
        <v>0</v>
      </c>
      <c r="H17" s="14" t="n">
        <f aca="false">D17*G17</f>
        <v>0</v>
      </c>
      <c r="I17" s="15"/>
      <c r="J17" s="11" t="s">
        <v>665</v>
      </c>
      <c r="K17" s="10" t="s">
        <v>80</v>
      </c>
      <c r="L17" s="11" t="s">
        <v>666</v>
      </c>
      <c r="M17" s="11" t="s">
        <v>667</v>
      </c>
    </row>
    <row r="18" customFormat="false" ht="35.05" hidden="false" customHeight="false" outlineLevel="0" collapsed="false">
      <c r="A18" s="10" t="n">
        <v>13</v>
      </c>
      <c r="B18" s="11" t="s">
        <v>668</v>
      </c>
      <c r="C18" s="11" t="s">
        <v>669</v>
      </c>
      <c r="D18" s="10" t="n">
        <v>1</v>
      </c>
      <c r="E18" s="12" t="n">
        <v>0</v>
      </c>
      <c r="F18" s="13" t="n">
        <f aca="false">D18*E18</f>
        <v>0</v>
      </c>
      <c r="G18" s="14" t="n">
        <v>0</v>
      </c>
      <c r="H18" s="14" t="n">
        <f aca="false">D18*G18</f>
        <v>0</v>
      </c>
      <c r="I18" s="15"/>
      <c r="J18" s="11" t="s">
        <v>670</v>
      </c>
      <c r="K18" s="10" t="s">
        <v>671</v>
      </c>
      <c r="L18" s="11" t="s">
        <v>672</v>
      </c>
      <c r="M18" s="11" t="s">
        <v>673</v>
      </c>
    </row>
    <row r="19" customFormat="false" ht="15" hidden="false" customHeight="false" outlineLevel="0" collapsed="false">
      <c r="A19" s="10" t="n">
        <v>14</v>
      </c>
      <c r="B19" s="11" t="s">
        <v>674</v>
      </c>
      <c r="C19" s="11" t="s">
        <v>675</v>
      </c>
      <c r="D19" s="10" t="n">
        <v>1</v>
      </c>
      <c r="E19" s="12" t="n">
        <v>0</v>
      </c>
      <c r="F19" s="13" t="n">
        <f aca="false">D19*E19</f>
        <v>0</v>
      </c>
      <c r="G19" s="14" t="n">
        <v>0</v>
      </c>
      <c r="H19" s="14" t="n">
        <f aca="false">D19*G19</f>
        <v>0</v>
      </c>
      <c r="I19" s="15"/>
      <c r="J19" s="11" t="s">
        <v>676</v>
      </c>
      <c r="K19" s="10" t="s">
        <v>80</v>
      </c>
      <c r="L19" s="11" t="s">
        <v>677</v>
      </c>
      <c r="M19" s="11" t="s">
        <v>80</v>
      </c>
    </row>
    <row r="20" customFormat="false" ht="15" hidden="false" customHeight="false" outlineLevel="0" collapsed="false">
      <c r="A20" s="8" t="s">
        <v>678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23.85" hidden="false" customHeight="false" outlineLevel="0" collapsed="false">
      <c r="A21" s="10" t="n">
        <v>15</v>
      </c>
      <c r="B21" s="11" t="s">
        <v>679</v>
      </c>
      <c r="C21" s="11" t="s">
        <v>680</v>
      </c>
      <c r="D21" s="10" t="n">
        <v>1</v>
      </c>
      <c r="E21" s="12" t="n">
        <v>0</v>
      </c>
      <c r="F21" s="13" t="n">
        <f aca="false">D21*E21</f>
        <v>0</v>
      </c>
      <c r="G21" s="14" t="n">
        <v>0</v>
      </c>
      <c r="H21" s="14" t="n">
        <f aca="false">D21*G21</f>
        <v>0</v>
      </c>
      <c r="I21" s="15"/>
      <c r="J21" s="11" t="s">
        <v>253</v>
      </c>
      <c r="K21" s="10" t="s">
        <v>681</v>
      </c>
      <c r="L21" s="11" t="s">
        <v>682</v>
      </c>
      <c r="M21" s="11" t="s">
        <v>683</v>
      </c>
    </row>
    <row r="22" customFormat="false" ht="35.05" hidden="false" customHeight="false" outlineLevel="0" collapsed="false">
      <c r="A22" s="10" t="n">
        <v>16</v>
      </c>
      <c r="B22" s="11" t="s">
        <v>684</v>
      </c>
      <c r="C22" s="11" t="s">
        <v>685</v>
      </c>
      <c r="D22" s="10" t="n">
        <v>1</v>
      </c>
      <c r="E22" s="12" t="n">
        <v>0</v>
      </c>
      <c r="F22" s="13" t="n">
        <f aca="false">D22*E22</f>
        <v>0</v>
      </c>
      <c r="G22" s="14" t="n">
        <v>0</v>
      </c>
      <c r="H22" s="14" t="n">
        <f aca="false">D22*G22</f>
        <v>0</v>
      </c>
      <c r="I22" s="15"/>
      <c r="J22" s="11" t="s">
        <v>686</v>
      </c>
      <c r="K22" s="10" t="s">
        <v>86</v>
      </c>
      <c r="L22" s="11" t="s">
        <v>687</v>
      </c>
      <c r="M22" s="11" t="s">
        <v>688</v>
      </c>
    </row>
    <row r="23" customFormat="false" ht="15" hidden="false" customHeight="false" outlineLevel="0" collapsed="false">
      <c r="A23" s="10" t="n">
        <v>17</v>
      </c>
      <c r="B23" s="11" t="s">
        <v>689</v>
      </c>
      <c r="C23" s="11" t="s">
        <v>690</v>
      </c>
      <c r="D23" s="10" t="n">
        <v>1</v>
      </c>
      <c r="E23" s="12" t="n">
        <v>0</v>
      </c>
      <c r="F23" s="13" t="n">
        <f aca="false">D23*E23</f>
        <v>0</v>
      </c>
      <c r="G23" s="14" t="n">
        <v>0</v>
      </c>
      <c r="H23" s="14" t="n">
        <f aca="false">D23*G23</f>
        <v>0</v>
      </c>
      <c r="I23" s="15"/>
      <c r="J23" s="11" t="s">
        <v>691</v>
      </c>
      <c r="K23" s="10" t="s">
        <v>80</v>
      </c>
      <c r="L23" s="11" t="s">
        <v>692</v>
      </c>
      <c r="M23" s="11" t="s">
        <v>80</v>
      </c>
    </row>
    <row r="24" customFormat="false" ht="23.85" hidden="false" customHeight="false" outlineLevel="0" collapsed="false">
      <c r="A24" s="10" t="n">
        <v>18</v>
      </c>
      <c r="B24" s="11" t="s">
        <v>693</v>
      </c>
      <c r="C24" s="11" t="s">
        <v>694</v>
      </c>
      <c r="D24" s="10" t="n">
        <v>1</v>
      </c>
      <c r="E24" s="12" t="n">
        <v>0</v>
      </c>
      <c r="F24" s="13" t="n">
        <f aca="false">D24*E24</f>
        <v>0</v>
      </c>
      <c r="G24" s="14" t="n">
        <v>0</v>
      </c>
      <c r="H24" s="14" t="n">
        <f aca="false">D24*G24</f>
        <v>0</v>
      </c>
      <c r="I24" s="15"/>
      <c r="J24" s="11" t="s">
        <v>695</v>
      </c>
      <c r="K24" s="10" t="s">
        <v>80</v>
      </c>
      <c r="L24" s="11" t="s">
        <v>696</v>
      </c>
      <c r="M24" s="11" t="s">
        <v>697</v>
      </c>
    </row>
    <row r="25" customFormat="false" ht="15" hidden="false" customHeight="false" outlineLevel="0" collapsed="false">
      <c r="A25" s="8" t="s">
        <v>698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23.85" hidden="false" customHeight="false" outlineLevel="0" collapsed="false">
      <c r="A26" s="10" t="n">
        <v>19</v>
      </c>
      <c r="B26" s="11" t="s">
        <v>699</v>
      </c>
      <c r="C26" s="11" t="s">
        <v>700</v>
      </c>
      <c r="D26" s="10" t="n">
        <v>1</v>
      </c>
      <c r="E26" s="12" t="n">
        <v>0</v>
      </c>
      <c r="F26" s="13" t="n">
        <f aca="false">D26*E26</f>
        <v>0</v>
      </c>
      <c r="G26" s="14" t="n">
        <v>0</v>
      </c>
      <c r="H26" s="14" t="n">
        <f aca="false">D26*G26</f>
        <v>0</v>
      </c>
      <c r="I26" s="15"/>
      <c r="J26" s="11" t="s">
        <v>701</v>
      </c>
      <c r="K26" s="10" t="s">
        <v>671</v>
      </c>
      <c r="L26" s="11" t="s">
        <v>702</v>
      </c>
      <c r="M26" s="11" t="s">
        <v>80</v>
      </c>
    </row>
    <row r="27" customFormat="false" ht="35.05" hidden="false" customHeight="false" outlineLevel="0" collapsed="false">
      <c r="A27" s="10" t="n">
        <v>20</v>
      </c>
      <c r="B27" s="11" t="s">
        <v>703</v>
      </c>
      <c r="C27" s="11" t="s">
        <v>704</v>
      </c>
      <c r="D27" s="10" t="n">
        <v>1</v>
      </c>
      <c r="E27" s="12" t="n">
        <v>0</v>
      </c>
      <c r="F27" s="13" t="n">
        <f aca="false">D27*E27</f>
        <v>0</v>
      </c>
      <c r="G27" s="14" t="n">
        <v>0</v>
      </c>
      <c r="H27" s="14" t="n">
        <f aca="false">D27*G27</f>
        <v>0</v>
      </c>
      <c r="I27" s="15"/>
      <c r="J27" s="11" t="s">
        <v>705</v>
      </c>
      <c r="K27" s="10" t="s">
        <v>234</v>
      </c>
      <c r="L27" s="11" t="s">
        <v>706</v>
      </c>
      <c r="M27" s="11" t="s">
        <v>80</v>
      </c>
    </row>
    <row r="28" customFormat="false" ht="15" hidden="false" customHeight="false" outlineLevel="0" collapsed="false">
      <c r="A28" s="10" t="n">
        <v>21</v>
      </c>
      <c r="B28" s="11" t="s">
        <v>707</v>
      </c>
      <c r="C28" s="11" t="s">
        <v>708</v>
      </c>
      <c r="D28" s="10" t="n">
        <v>1</v>
      </c>
      <c r="E28" s="12" t="n">
        <v>0</v>
      </c>
      <c r="F28" s="13" t="n">
        <f aca="false">D28*E28</f>
        <v>0</v>
      </c>
      <c r="G28" s="14" t="n">
        <v>0</v>
      </c>
      <c r="H28" s="14" t="n">
        <f aca="false">D28*G28</f>
        <v>0</v>
      </c>
      <c r="I28" s="15"/>
      <c r="J28" s="11" t="s">
        <v>709</v>
      </c>
      <c r="K28" s="10" t="s">
        <v>60</v>
      </c>
      <c r="L28" s="11" t="s">
        <v>710</v>
      </c>
      <c r="M28" s="11" t="s">
        <v>80</v>
      </c>
    </row>
    <row r="29" customFormat="false" ht="15" hidden="false" customHeight="false" outlineLevel="0" collapsed="false">
      <c r="B29" s="5" t="s">
        <v>311</v>
      </c>
      <c r="F29" s="16" t="n">
        <f aca="false">SUM(F5:F28)</f>
        <v>0</v>
      </c>
      <c r="H29" s="17" t="n">
        <f aca="false">SUM(H5:H28)</f>
        <v>0</v>
      </c>
      <c r="I29" s="18" t="n">
        <f aca="false">SUM(I5:I28)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6" min="3" style="0" width="16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711</v>
      </c>
    </row>
    <row r="2" customFormat="false" ht="15" hidden="false" customHeight="false" outlineLevel="0" collapsed="false">
      <c r="A2" s="2" t="s">
        <v>712</v>
      </c>
    </row>
    <row r="4" customFormat="false" ht="26.85" hidden="false" customHeight="false" outlineLevel="0" collapsed="false">
      <c r="A4" s="7" t="s">
        <v>37</v>
      </c>
      <c r="B4" s="7" t="s">
        <v>713</v>
      </c>
      <c r="C4" s="7" t="s">
        <v>714</v>
      </c>
      <c r="D4" s="7" t="s">
        <v>715</v>
      </c>
      <c r="E4" s="7" t="s">
        <v>716</v>
      </c>
      <c r="F4" s="7" t="s">
        <v>717</v>
      </c>
      <c r="G4" s="7" t="s">
        <v>718</v>
      </c>
    </row>
    <row r="5" customFormat="false" ht="15" hidden="false" customHeight="false" outlineLevel="0" collapsed="false">
      <c r="A5" s="19" t="n">
        <v>1</v>
      </c>
      <c r="B5" s="19" t="s">
        <v>719</v>
      </c>
      <c r="C5" s="20" t="n">
        <v>1187</v>
      </c>
      <c r="D5" s="20" t="n">
        <v>1187</v>
      </c>
      <c r="E5" s="21"/>
      <c r="F5" s="22" t="str">
        <f aca="false">IF(E5="","",E5-C5)</f>
        <v/>
      </c>
      <c r="G5" s="23" t="s">
        <v>720</v>
      </c>
    </row>
    <row r="6" customFormat="false" ht="15" hidden="false" customHeight="false" outlineLevel="0" collapsed="false">
      <c r="A6" s="19" t="n">
        <v>2</v>
      </c>
      <c r="B6" s="19" t="s">
        <v>721</v>
      </c>
      <c r="C6" s="20" t="n">
        <v>934</v>
      </c>
      <c r="D6" s="20" t="n">
        <v>934</v>
      </c>
      <c r="E6" s="21"/>
      <c r="F6" s="22" t="str">
        <f aca="false">IF(E6="","",E6-C6)</f>
        <v/>
      </c>
      <c r="G6" s="23" t="s">
        <v>722</v>
      </c>
    </row>
    <row r="7" customFormat="false" ht="15" hidden="false" customHeight="false" outlineLevel="0" collapsed="false">
      <c r="A7" s="19" t="n">
        <v>3</v>
      </c>
      <c r="B7" s="19" t="s">
        <v>723</v>
      </c>
      <c r="C7" s="20" t="n">
        <v>1724</v>
      </c>
      <c r="D7" s="20" t="n">
        <v>1724</v>
      </c>
      <c r="E7" s="21"/>
      <c r="F7" s="22" t="str">
        <f aca="false">IF(E7="","",E7-C7)</f>
        <v/>
      </c>
      <c r="G7" s="23" t="s">
        <v>724</v>
      </c>
    </row>
    <row r="8" customFormat="false" ht="15" hidden="false" customHeight="false" outlineLevel="0" collapsed="false">
      <c r="A8" s="19" t="n">
        <v>4</v>
      </c>
      <c r="B8" s="19" t="s">
        <v>725</v>
      </c>
      <c r="C8" s="20" t="n">
        <v>217</v>
      </c>
      <c r="D8" s="20" t="n">
        <v>217</v>
      </c>
      <c r="E8" s="21"/>
      <c r="F8" s="22" t="str">
        <f aca="false">IF(E8="","",E8-C8)</f>
        <v/>
      </c>
      <c r="G8" s="23" t="s">
        <v>726</v>
      </c>
    </row>
    <row r="9" customFormat="false" ht="15" hidden="false" customHeight="false" outlineLevel="0" collapsed="false">
      <c r="A9" s="19" t="n">
        <v>5</v>
      </c>
      <c r="B9" s="19" t="s">
        <v>727</v>
      </c>
      <c r="C9" s="20" t="n">
        <v>444</v>
      </c>
      <c r="D9" s="20" t="n">
        <v>444</v>
      </c>
      <c r="E9" s="21"/>
      <c r="F9" s="22" t="str">
        <f aca="false">IF(E9="","",E9-C9)</f>
        <v/>
      </c>
      <c r="G9" s="23" t="s">
        <v>728</v>
      </c>
    </row>
    <row r="10" customFormat="false" ht="15" hidden="false" customHeight="false" outlineLevel="0" collapsed="false">
      <c r="A10" s="19" t="n">
        <v>6</v>
      </c>
      <c r="B10" s="19" t="s">
        <v>729</v>
      </c>
      <c r="C10" s="20" t="n">
        <v>119</v>
      </c>
      <c r="D10" s="20" t="n">
        <v>119</v>
      </c>
      <c r="E10" s="21"/>
      <c r="F10" s="22" t="str">
        <f aca="false">IF(E10="","",E10-C10)</f>
        <v/>
      </c>
      <c r="G10" s="23" t="s">
        <v>730</v>
      </c>
    </row>
    <row r="11" customFormat="false" ht="15" hidden="false" customHeight="false" outlineLevel="0" collapsed="false">
      <c r="A11" s="19" t="n">
        <v>7</v>
      </c>
      <c r="B11" s="19" t="s">
        <v>731</v>
      </c>
      <c r="C11" s="20" t="n">
        <v>240</v>
      </c>
      <c r="D11" s="20" t="n">
        <v>240</v>
      </c>
      <c r="E11" s="21"/>
      <c r="F11" s="22" t="str">
        <f aca="false">IF(E11="","",E11-C11)</f>
        <v/>
      </c>
      <c r="G11" s="23" t="s">
        <v>732</v>
      </c>
    </row>
    <row r="12" customFormat="false" ht="15" hidden="false" customHeight="false" outlineLevel="0" collapsed="false">
      <c r="A12" s="19" t="n">
        <v>8</v>
      </c>
      <c r="B12" s="19" t="s">
        <v>733</v>
      </c>
      <c r="C12" s="20" t="n">
        <v>800</v>
      </c>
      <c r="D12" s="20" t="n">
        <v>800</v>
      </c>
      <c r="E12" s="21"/>
      <c r="F12" s="22" t="str">
        <f aca="false">IF(E12="","",E12-C12)</f>
        <v/>
      </c>
      <c r="G12" s="23" t="s">
        <v>734</v>
      </c>
    </row>
    <row r="14" customFormat="false" ht="15" hidden="false" customHeight="false" outlineLevel="0" collapsed="false">
      <c r="B14" s="5" t="s">
        <v>735</v>
      </c>
      <c r="D14" s="17" t="n">
        <f aca="false">SUM(D5:D12)</f>
        <v>5665</v>
      </c>
    </row>
    <row r="15" customFormat="false" ht="22.35" hidden="false" customHeight="false" outlineLevel="0" collapsed="false">
      <c r="B15" s="6" t="s">
        <v>736</v>
      </c>
      <c r="D15" s="24" t="n">
        <f aca="false">'01 Air Vehicle BOM'!F66</f>
        <v>5801</v>
      </c>
      <c r="G15" s="25" t="s">
        <v>737</v>
      </c>
    </row>
    <row r="16" customFormat="false" ht="15" hidden="false" customHeight="false" outlineLevel="0" collapsed="false">
      <c r="B16" s="6" t="s">
        <v>738</v>
      </c>
      <c r="D16" s="24" t="n">
        <f aca="false">D15-D14</f>
        <v>136</v>
      </c>
      <c r="G16" s="2" t="s">
        <v>739</v>
      </c>
    </row>
    <row r="17" customFormat="false" ht="15" hidden="false" customHeight="false" outlineLevel="0" collapsed="false">
      <c r="B17" s="6" t="s">
        <v>740</v>
      </c>
      <c r="D17" s="24" t="n">
        <f aca="false">3</f>
        <v>3</v>
      </c>
    </row>
    <row r="18" customFormat="false" ht="15" hidden="false" customHeight="false" outlineLevel="0" collapsed="false">
      <c r="B18" s="5" t="s">
        <v>741</v>
      </c>
      <c r="D18" s="17" t="n">
        <f aca="false">D14*D17</f>
        <v>16995</v>
      </c>
    </row>
    <row r="19" customFormat="false" ht="15" hidden="false" customHeight="false" outlineLevel="0" collapsed="false">
      <c r="B19" s="6" t="s">
        <v>742</v>
      </c>
      <c r="D19" s="24" t="n">
        <f aca="false">25000</f>
        <v>25000</v>
      </c>
    </row>
    <row r="20" customFormat="false" ht="15" hidden="false" customHeight="false" outlineLevel="0" collapsed="false">
      <c r="B20" s="6" t="s">
        <v>743</v>
      </c>
      <c r="D20" s="24" t="n">
        <f aca="false">24000</f>
        <v>24000</v>
      </c>
    </row>
    <row r="21" customFormat="false" ht="15" hidden="false" customHeight="false" outlineLevel="0" collapsed="false">
      <c r="B21" s="5" t="s">
        <v>744</v>
      </c>
      <c r="D21" s="17" t="n">
        <f aca="false">D19-D18</f>
        <v>8005</v>
      </c>
    </row>
    <row r="22" customFormat="false" ht="15" hidden="false" customHeight="false" outlineLevel="0" collapsed="false">
      <c r="B22" s="5" t="s">
        <v>745</v>
      </c>
      <c r="D22" s="26" t="n">
        <f aca="false">(D19-D18)/D19</f>
        <v>0.3202</v>
      </c>
    </row>
    <row r="23" customFormat="false" ht="15" hidden="false" customHeight="false" outlineLevel="0" collapsed="false">
      <c r="B23" s="5" t="s">
        <v>746</v>
      </c>
      <c r="D23" s="27" t="n">
        <f aca="false">D20/D18-1</f>
        <v>0.412180052956752</v>
      </c>
    </row>
    <row r="25" customFormat="false" ht="15" hidden="false" customHeight="false" outlineLevel="0" collapsed="false">
      <c r="B25" s="5" t="s">
        <v>747</v>
      </c>
    </row>
    <row r="26" customFormat="false" ht="15" hidden="false" customHeight="false" outlineLevel="0" collapsed="false">
      <c r="B26" s="6" t="s">
        <v>748</v>
      </c>
      <c r="D26" s="28" t="n">
        <v>784</v>
      </c>
      <c r="G26" s="25" t="s">
        <v>749</v>
      </c>
    </row>
    <row r="27" customFormat="false" ht="15" hidden="false" customHeight="false" outlineLevel="0" collapsed="false">
      <c r="B27" s="6" t="s">
        <v>750</v>
      </c>
      <c r="D27" s="28" t="n">
        <v>234</v>
      </c>
      <c r="G27" s="25" t="s">
        <v>751</v>
      </c>
    </row>
    <row r="28" customFormat="false" ht="15" hidden="false" customHeight="false" outlineLevel="0" collapsed="false">
      <c r="B28" s="6" t="s">
        <v>752</v>
      </c>
      <c r="D28" s="28" t="n">
        <v>17.9</v>
      </c>
      <c r="G28" s="25" t="s">
        <v>753</v>
      </c>
    </row>
    <row r="29" customFormat="false" ht="15" hidden="false" customHeight="false" outlineLevel="0" collapsed="false">
      <c r="B29" s="6" t="s">
        <v>754</v>
      </c>
      <c r="D29" s="28" t="n">
        <v>7.7</v>
      </c>
      <c r="G29" s="25" t="s">
        <v>755</v>
      </c>
    </row>
    <row r="30" customFormat="false" ht="15" hidden="false" customHeight="false" outlineLevel="0" collapsed="false">
      <c r="B30" s="6" t="s">
        <v>756</v>
      </c>
      <c r="D30" s="28" t="n">
        <v>2.3</v>
      </c>
      <c r="G30" s="25" t="s">
        <v>757</v>
      </c>
    </row>
    <row r="31" customFormat="false" ht="15" hidden="false" customHeight="false" outlineLevel="0" collapsed="false">
      <c r="B31" s="6" t="s">
        <v>758</v>
      </c>
      <c r="D31" s="28" t="n">
        <v>101</v>
      </c>
      <c r="G31" s="25" t="s">
        <v>759</v>
      </c>
    </row>
    <row r="32" customFormat="false" ht="15" hidden="false" customHeight="false" outlineLevel="0" collapsed="false">
      <c r="B32" s="6" t="s">
        <v>760</v>
      </c>
      <c r="D32" s="28" t="n">
        <v>65</v>
      </c>
      <c r="G32" s="25" t="s">
        <v>761</v>
      </c>
    </row>
    <row r="33" customFormat="false" ht="15" hidden="false" customHeight="false" outlineLevel="0" collapsed="false">
      <c r="B33" s="6" t="s">
        <v>762</v>
      </c>
      <c r="D33" s="28" t="n">
        <v>36.3</v>
      </c>
      <c r="G33" s="25" t="s">
        <v>763</v>
      </c>
    </row>
    <row r="34" customFormat="false" ht="15" hidden="false" customHeight="false" outlineLevel="0" collapsed="false">
      <c r="B34" s="6" t="s">
        <v>764</v>
      </c>
      <c r="D34" s="28" t="n">
        <v>98</v>
      </c>
      <c r="G34" s="25" t="s">
        <v>765</v>
      </c>
    </row>
    <row r="35" customFormat="false" ht="15" hidden="false" customHeight="false" outlineLevel="0" collapsed="false">
      <c r="B35" s="6" t="s">
        <v>766</v>
      </c>
      <c r="D35" s="28" t="n">
        <v>135</v>
      </c>
      <c r="G35" s="25" t="s">
        <v>767</v>
      </c>
    </row>
    <row r="36" customFormat="false" ht="15" hidden="false" customHeight="false" outlineLevel="0" collapsed="false">
      <c r="B36" s="6" t="s">
        <v>768</v>
      </c>
      <c r="D36" s="28" t="n">
        <v>38</v>
      </c>
      <c r="G36" s="25" t="s">
        <v>769</v>
      </c>
    </row>
    <row r="37" customFormat="false" ht="15" hidden="false" customHeight="false" outlineLevel="0" collapsed="false">
      <c r="B37" s="6" t="s">
        <v>770</v>
      </c>
      <c r="D37" s="28" t="n">
        <v>2.87</v>
      </c>
      <c r="G37" s="25" t="s">
        <v>771</v>
      </c>
    </row>
    <row r="38" customFormat="false" ht="15" hidden="false" customHeight="false" outlineLevel="0" collapsed="false">
      <c r="B38" s="6" t="s">
        <v>772</v>
      </c>
      <c r="D38" s="28" t="n">
        <v>35</v>
      </c>
      <c r="G38" s="25" t="s">
        <v>773</v>
      </c>
    </row>
    <row r="40" customFormat="false" ht="15" hidden="false" customHeight="false" outlineLevel="0" collapsed="false">
      <c r="B40" s="5" t="s">
        <v>774</v>
      </c>
    </row>
    <row r="41" customFormat="false" ht="15" hidden="false" customHeight="false" outlineLevel="0" collapsed="false">
      <c r="B41" s="29" t="s">
        <v>775</v>
      </c>
      <c r="C41" s="29"/>
      <c r="D41" s="29"/>
      <c r="E41" s="29"/>
      <c r="F41" s="29"/>
      <c r="G41" s="29"/>
    </row>
    <row r="42" customFormat="false" ht="15" hidden="false" customHeight="false" outlineLevel="0" collapsed="false">
      <c r="B42" s="29" t="s">
        <v>776</v>
      </c>
      <c r="C42" s="29"/>
      <c r="D42" s="29"/>
      <c r="E42" s="29"/>
      <c r="F42" s="29"/>
      <c r="G42" s="29"/>
    </row>
    <row r="43" customFormat="false" ht="15" hidden="false" customHeight="false" outlineLevel="0" collapsed="false">
      <c r="B43" s="29" t="s">
        <v>777</v>
      </c>
      <c r="C43" s="29"/>
      <c r="D43" s="29"/>
      <c r="E43" s="29"/>
      <c r="F43" s="29"/>
      <c r="G43" s="29"/>
    </row>
    <row r="44" customFormat="false" ht="15" hidden="false" customHeight="false" outlineLevel="0" collapsed="false">
      <c r="B44" s="29" t="s">
        <v>778</v>
      </c>
      <c r="C44" s="29"/>
      <c r="D44" s="29"/>
      <c r="E44" s="29"/>
      <c r="F44" s="29"/>
      <c r="G44" s="29"/>
    </row>
  </sheetData>
  <mergeCells count="4">
    <mergeCell ref="B41:G41"/>
    <mergeCell ref="B42:G42"/>
    <mergeCell ref="B43:G43"/>
    <mergeCell ref="B44:G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1" t="s">
        <v>779</v>
      </c>
    </row>
    <row r="2" customFormat="false" ht="15" hidden="false" customHeight="false" outlineLevel="0" collapsed="false">
      <c r="A2" s="2" t="s">
        <v>780</v>
      </c>
    </row>
    <row r="4" customFormat="false" ht="15" hidden="false" customHeight="false" outlineLevel="0" collapsed="false">
      <c r="A4" s="7" t="s">
        <v>37</v>
      </c>
      <c r="B4" s="7" t="s">
        <v>781</v>
      </c>
      <c r="C4" s="7" t="s">
        <v>782</v>
      </c>
      <c r="D4" s="7" t="s">
        <v>783</v>
      </c>
      <c r="E4" s="7" t="s">
        <v>784</v>
      </c>
      <c r="F4" s="7" t="s">
        <v>718</v>
      </c>
    </row>
    <row r="5" customFormat="false" ht="15" hidden="false" customHeight="false" outlineLevel="0" collapsed="false">
      <c r="A5" s="19" t="n">
        <v>1</v>
      </c>
      <c r="B5" s="19" t="s">
        <v>785</v>
      </c>
      <c r="C5" s="30" t="n">
        <v>3</v>
      </c>
      <c r="D5" s="31" t="n">
        <f aca="false">'01 Air Vehicle BOM'!H66</f>
        <v>313000</v>
      </c>
      <c r="E5" s="31" t="n">
        <f aca="false">C5*D5</f>
        <v>939000</v>
      </c>
      <c r="F5" s="23" t="s">
        <v>786</v>
      </c>
    </row>
    <row r="6" customFormat="false" ht="15" hidden="false" customHeight="false" outlineLevel="0" collapsed="false">
      <c r="A6" s="19" t="n">
        <v>2</v>
      </c>
      <c r="B6" s="19" t="s">
        <v>787</v>
      </c>
      <c r="C6" s="30" t="n">
        <v>1</v>
      </c>
      <c r="D6" s="31" t="n">
        <f aca="false">'02 Payload &amp; Kits'!H15</f>
        <v>47820</v>
      </c>
      <c r="E6" s="31" t="n">
        <f aca="false">C6*D6</f>
        <v>47820</v>
      </c>
      <c r="F6" s="23" t="s">
        <v>788</v>
      </c>
    </row>
    <row r="7" customFormat="false" ht="15" hidden="false" customHeight="false" outlineLevel="0" collapsed="false">
      <c r="A7" s="19" t="n">
        <v>3</v>
      </c>
      <c r="B7" s="19" t="s">
        <v>789</v>
      </c>
      <c r="C7" s="30" t="n">
        <v>1</v>
      </c>
      <c r="D7" s="31" t="n">
        <f aca="false">'03 Ground Segment'!H32</f>
        <v>583800</v>
      </c>
      <c r="E7" s="31" t="n">
        <f aca="false">C7*D7</f>
        <v>583800</v>
      </c>
      <c r="F7" s="23" t="s">
        <v>790</v>
      </c>
    </row>
    <row r="8" customFormat="false" ht="15" hidden="false" customHeight="false" outlineLevel="0" collapsed="false">
      <c r="A8" s="19" t="n">
        <v>4</v>
      </c>
      <c r="B8" s="19" t="s">
        <v>791</v>
      </c>
      <c r="C8" s="30" t="n">
        <v>1</v>
      </c>
      <c r="D8" s="31" t="n">
        <f aca="false">'04 Test &amp; Lab Equipment'!H30</f>
        <v>604000</v>
      </c>
      <c r="E8" s="31" t="n">
        <f aca="false">C8*D8</f>
        <v>604000</v>
      </c>
      <c r="F8" s="23" t="s">
        <v>792</v>
      </c>
    </row>
    <row r="9" customFormat="false" ht="15" hidden="false" customHeight="false" outlineLevel="0" collapsed="false">
      <c r="A9" s="19" t="n">
        <v>5</v>
      </c>
      <c r="B9" s="19" t="s">
        <v>793</v>
      </c>
      <c r="C9" s="30" t="n">
        <v>1</v>
      </c>
      <c r="D9" s="31" t="n">
        <f aca="false">'05 Spares &amp; Consumables'!H28</f>
        <v>490900</v>
      </c>
      <c r="E9" s="31" t="n">
        <f aca="false">C9*D9</f>
        <v>490900</v>
      </c>
      <c r="F9" s="23" t="s">
        <v>794</v>
      </c>
    </row>
    <row r="10" customFormat="false" ht="15" hidden="false" customHeight="false" outlineLevel="0" collapsed="false">
      <c r="A10" s="19" t="n">
        <v>6</v>
      </c>
      <c r="B10" s="19" t="s">
        <v>795</v>
      </c>
      <c r="C10" s="30" t="n">
        <v>1</v>
      </c>
      <c r="D10" s="31" t="n">
        <f aca="false">'06 Software &amp; Data'!H29</f>
        <v>0</v>
      </c>
      <c r="E10" s="31" t="n">
        <f aca="false">C10*D10</f>
        <v>0</v>
      </c>
      <c r="F10" s="23" t="s">
        <v>796</v>
      </c>
    </row>
    <row r="12" customFormat="false" ht="15" hidden="false" customHeight="false" outlineLevel="0" collapsed="false">
      <c r="B12" s="5" t="s">
        <v>797</v>
      </c>
      <c r="E12" s="17" t="n">
        <f aca="false">SUM(E5:E10)</f>
        <v>2665520</v>
      </c>
      <c r="F12" s="25"/>
    </row>
    <row r="13" customFormat="false" ht="22.35" hidden="false" customHeight="false" outlineLevel="0" collapsed="false">
      <c r="B13" s="5" t="s">
        <v>798</v>
      </c>
      <c r="E13" s="32" t="n">
        <f aca="false">E12*0.22</f>
        <v>586414.4</v>
      </c>
      <c r="F13" s="25" t="s">
        <v>799</v>
      </c>
    </row>
    <row r="14" customFormat="false" ht="15" hidden="false" customHeight="false" outlineLevel="0" collapsed="false">
      <c r="B14" s="5" t="s">
        <v>800</v>
      </c>
      <c r="E14" s="32" t="n">
        <f aca="false">(E12+E13)*0.18</f>
        <v>585348.192</v>
      </c>
      <c r="F14" s="25" t="s">
        <v>801</v>
      </c>
    </row>
    <row r="15" customFormat="false" ht="22.35" hidden="false" customHeight="false" outlineLevel="0" collapsed="false">
      <c r="B15" s="5" t="s">
        <v>802</v>
      </c>
      <c r="E15" s="32" t="n">
        <f aca="false">(E12+E13+E14)*0.2</f>
        <v>767456.5184</v>
      </c>
      <c r="F15" s="25" t="s">
        <v>803</v>
      </c>
    </row>
    <row r="16" customFormat="false" ht="15" hidden="false" customHeight="false" outlineLevel="0" collapsed="false">
      <c r="B16" s="5" t="s">
        <v>804</v>
      </c>
      <c r="E16" s="33" t="n">
        <f aca="false">E12+E13+E14+E15</f>
        <v>4604739.1104</v>
      </c>
      <c r="F16" s="25"/>
    </row>
    <row r="18" customFormat="false" ht="15" hidden="false" customHeight="false" outlineLevel="0" collapsed="false">
      <c r="B18" s="5" t="s">
        <v>805</v>
      </c>
    </row>
    <row r="19" customFormat="false" ht="15" hidden="false" customHeight="false" outlineLevel="0" collapsed="false">
      <c r="B19" s="6" t="s">
        <v>806</v>
      </c>
      <c r="E19" s="34" t="n">
        <v>-185000</v>
      </c>
    </row>
    <row r="20" customFormat="false" ht="15" hidden="false" customHeight="false" outlineLevel="0" collapsed="false">
      <c r="B20" s="6" t="s">
        <v>807</v>
      </c>
      <c r="E20" s="34" t="n">
        <v>-66500</v>
      </c>
    </row>
    <row r="21" customFormat="false" ht="15" hidden="false" customHeight="false" outlineLevel="0" collapsed="false">
      <c r="B21" s="6" t="s">
        <v>808</v>
      </c>
      <c r="E21" s="34" t="n">
        <v>-165000</v>
      </c>
    </row>
    <row r="22" customFormat="false" ht="15" hidden="false" customHeight="false" outlineLevel="0" collapsed="false">
      <c r="B22" s="6" t="s">
        <v>809</v>
      </c>
      <c r="E22" s="34" t="n">
        <v>-130000</v>
      </c>
    </row>
    <row r="23" customFormat="false" ht="15" hidden="false" customHeight="false" outlineLevel="0" collapsed="false">
      <c r="B23" s="6" t="s">
        <v>810</v>
      </c>
      <c r="E23" s="34" t="n">
        <v>-180000</v>
      </c>
    </row>
    <row r="24" customFormat="false" ht="15" hidden="false" customHeight="false" outlineLevel="0" collapsed="false">
      <c r="B24" s="6" t="s">
        <v>811</v>
      </c>
      <c r="E24" s="34" t="n">
        <v>-90000</v>
      </c>
    </row>
    <row r="25" customFormat="false" ht="15" hidden="false" customHeight="false" outlineLevel="0" collapsed="false">
      <c r="B25" s="6" t="s">
        <v>812</v>
      </c>
      <c r="E25" s="34" t="n">
        <v>-18000</v>
      </c>
    </row>
    <row r="26" customFormat="false" ht="15" hidden="false" customHeight="false" outlineLevel="0" collapsed="false">
      <c r="B26" s="5" t="s">
        <v>813</v>
      </c>
      <c r="E26" s="32" t="n">
        <f aca="false">E12+SUM(E19:E25)</f>
        <v>1831020</v>
      </c>
    </row>
    <row r="27" customFormat="false" ht="32.8" hidden="false" customHeight="false" outlineLevel="0" collapsed="false">
      <c r="B27" s="5" t="s">
        <v>814</v>
      </c>
      <c r="E27" s="33" t="n">
        <f aca="false">E26*1.22*1.18*1.2</f>
        <v>3163123.6704</v>
      </c>
      <c r="F27" s="25" t="s">
        <v>815</v>
      </c>
    </row>
    <row r="29" customFormat="false" ht="15" hidden="false" customHeight="false" outlineLevel="0" collapsed="false">
      <c r="B29" s="5" t="s">
        <v>816</v>
      </c>
    </row>
    <row r="30" customFormat="false" ht="15" hidden="false" customHeight="false" outlineLevel="0" collapsed="false">
      <c r="B30" s="29" t="s">
        <v>817</v>
      </c>
      <c r="C30" s="29"/>
      <c r="D30" s="29"/>
      <c r="E30" s="29"/>
      <c r="F30" s="29"/>
    </row>
    <row r="31" customFormat="false" ht="15" hidden="false" customHeight="false" outlineLevel="0" collapsed="false">
      <c r="B31" s="29" t="s">
        <v>818</v>
      </c>
      <c r="C31" s="29"/>
      <c r="D31" s="29"/>
      <c r="E31" s="29"/>
      <c r="F31" s="29"/>
    </row>
    <row r="32" customFormat="false" ht="15" hidden="false" customHeight="false" outlineLevel="0" collapsed="false">
      <c r="B32" s="29" t="s">
        <v>819</v>
      </c>
      <c r="C32" s="29"/>
      <c r="D32" s="29"/>
      <c r="E32" s="29"/>
      <c r="F32" s="29"/>
    </row>
    <row r="33" customFormat="false" ht="15" hidden="false" customHeight="false" outlineLevel="0" collapsed="false">
      <c r="B33" s="29" t="s">
        <v>820</v>
      </c>
      <c r="C33" s="29"/>
      <c r="D33" s="29"/>
      <c r="E33" s="29"/>
      <c r="F33" s="29"/>
    </row>
    <row r="34" customFormat="false" ht="15" hidden="false" customHeight="false" outlineLevel="0" collapsed="false">
      <c r="B34" s="29" t="s">
        <v>821</v>
      </c>
      <c r="C34" s="29"/>
      <c r="D34" s="29"/>
      <c r="E34" s="29"/>
      <c r="F34" s="29"/>
    </row>
    <row r="35" customFormat="false" ht="15" hidden="false" customHeight="false" outlineLevel="0" collapsed="false">
      <c r="B35" s="29" t="s">
        <v>822</v>
      </c>
      <c r="C35" s="29"/>
      <c r="D35" s="29"/>
      <c r="E35" s="29"/>
      <c r="F35" s="29"/>
    </row>
  </sheetData>
  <mergeCells count="6"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2026-08-06T04:50:26Z</dcterms:created>
  <dc:creator>openpyxl</dc:creator>
  <dc:description/>
  <dc:language>en-US</dc:language>
  <cp:lastModifiedBy/>
  <dcterms:modified xsi:type="dcterms:W3CDTF">2026-08-06T04:50:27Z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